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esh\Downloads\"/>
    </mc:Choice>
  </mc:AlternateContent>
  <xr:revisionPtr revIDLastSave="0" documentId="13_ncr:1_{A9B48E2F-43C4-43ED-B817-6249A5B8332B}" xr6:coauthVersionLast="47" xr6:coauthVersionMax="47" xr10:uidLastSave="{00000000-0000-0000-0000-000000000000}"/>
  <bookViews>
    <workbookView xWindow="0" yWindow="3120" windowWidth="28800" windowHeight="11295" tabRatio="256" xr2:uid="{00000000-000D-0000-FFFF-FFFF00000000}"/>
  </bookViews>
  <sheets>
    <sheet name="0110360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6" i="1" l="1"/>
  <c r="G76" i="1"/>
  <c r="K75" i="1"/>
  <c r="G75" i="1"/>
  <c r="K74" i="1"/>
  <c r="G74" i="1"/>
  <c r="K73" i="1"/>
  <c r="G73" i="1"/>
  <c r="L72" i="1"/>
  <c r="K72" i="1"/>
  <c r="G72" i="1"/>
  <c r="K71" i="1"/>
  <c r="L71" i="1" s="1"/>
  <c r="G71" i="1"/>
  <c r="K70" i="1"/>
  <c r="G70" i="1"/>
  <c r="K69" i="1"/>
  <c r="G69" i="1"/>
  <c r="K68" i="1"/>
  <c r="G68" i="1"/>
  <c r="K67" i="1"/>
  <c r="L67" i="1" s="1"/>
  <c r="G67" i="1"/>
  <c r="K66" i="1"/>
  <c r="G66" i="1"/>
  <c r="K65" i="1"/>
  <c r="G65" i="1"/>
  <c r="K64" i="1"/>
  <c r="L64" i="1" s="1"/>
  <c r="G64" i="1"/>
  <c r="K63" i="1"/>
  <c r="L63" i="1" s="1"/>
  <c r="G63" i="1"/>
  <c r="K62" i="1"/>
  <c r="G62" i="1"/>
  <c r="K61" i="1"/>
  <c r="G61" i="1"/>
  <c r="L61" i="1" s="1"/>
  <c r="K60" i="1"/>
  <c r="G60" i="1"/>
  <c r="K59" i="1"/>
  <c r="G59" i="1"/>
  <c r="K58" i="1"/>
  <c r="G58" i="1"/>
  <c r="K57" i="1"/>
  <c r="G57" i="1"/>
  <c r="K56" i="1"/>
  <c r="L56" i="1" s="1"/>
  <c r="K55" i="1"/>
  <c r="G55" i="1"/>
  <c r="K54" i="1"/>
  <c r="G54" i="1"/>
  <c r="K53" i="1"/>
  <c r="L53" i="1" s="1"/>
  <c r="G53" i="1"/>
  <c r="K52" i="1"/>
  <c r="L52" i="1" s="1"/>
  <c r="G52" i="1"/>
  <c r="K51" i="1"/>
  <c r="G51" i="1"/>
  <c r="F51" i="1"/>
  <c r="K50" i="1"/>
  <c r="G50" i="1"/>
  <c r="K49" i="1"/>
  <c r="G49" i="1"/>
  <c r="K48" i="1"/>
  <c r="L48" i="1" s="1"/>
  <c r="G48" i="1"/>
  <c r="K47" i="1"/>
  <c r="L47" i="1" s="1"/>
  <c r="G47" i="1"/>
  <c r="K46" i="1"/>
  <c r="L46" i="1" s="1"/>
  <c r="K45" i="1"/>
  <c r="L45" i="1" s="1"/>
  <c r="G45" i="1"/>
  <c r="L44" i="1"/>
  <c r="K44" i="1"/>
  <c r="G44" i="1"/>
  <c r="K43" i="1"/>
  <c r="G43" i="1"/>
  <c r="K42" i="1"/>
  <c r="G42" i="1"/>
  <c r="L42" i="1" s="1"/>
  <c r="K41" i="1"/>
  <c r="L41" i="1" s="1"/>
  <c r="K40" i="1"/>
  <c r="L40" i="1" s="1"/>
  <c r="G40" i="1"/>
  <c r="K39" i="1"/>
  <c r="F39" i="1"/>
  <c r="G39" i="1" s="1"/>
  <c r="L39" i="1" s="1"/>
  <c r="K38" i="1"/>
  <c r="G38" i="1"/>
  <c r="K37" i="1"/>
  <c r="L37" i="1" s="1"/>
  <c r="G37" i="1"/>
  <c r="K36" i="1"/>
  <c r="L36" i="1" s="1"/>
  <c r="G36" i="1"/>
  <c r="K35" i="1"/>
  <c r="G35" i="1"/>
  <c r="K34" i="1"/>
  <c r="G34" i="1"/>
  <c r="L34" i="1" s="1"/>
  <c r="K33" i="1"/>
  <c r="G33" i="1"/>
  <c r="K32" i="1"/>
  <c r="G32" i="1"/>
  <c r="K31" i="1"/>
  <c r="G31" i="1"/>
  <c r="K30" i="1"/>
  <c r="G30" i="1"/>
  <c r="K29" i="1"/>
  <c r="L29" i="1" s="1"/>
  <c r="G29" i="1"/>
  <c r="K28" i="1"/>
  <c r="L28" i="1" s="1"/>
  <c r="G28" i="1"/>
  <c r="K27" i="1"/>
  <c r="G27" i="1"/>
  <c r="K26" i="1"/>
  <c r="G26" i="1"/>
  <c r="L26" i="1" s="1"/>
  <c r="K25" i="1"/>
  <c r="G25" i="1"/>
  <c r="K24" i="1"/>
  <c r="G24" i="1"/>
  <c r="K23" i="1"/>
  <c r="G23" i="1"/>
  <c r="K22" i="1"/>
  <c r="G22" i="1"/>
  <c r="K21" i="1"/>
  <c r="L21" i="1" s="1"/>
  <c r="G21" i="1"/>
  <c r="K20" i="1"/>
  <c r="L20" i="1" s="1"/>
  <c r="G20" i="1"/>
  <c r="K19" i="1"/>
  <c r="G19" i="1"/>
  <c r="K18" i="1"/>
  <c r="G18" i="1"/>
  <c r="L18" i="1" s="1"/>
  <c r="K17" i="1"/>
  <c r="G17" i="1"/>
  <c r="K16" i="1"/>
  <c r="L16" i="1" s="1"/>
  <c r="K13" i="1"/>
  <c r="G13" i="1"/>
  <c r="K12" i="1"/>
  <c r="G12" i="1"/>
  <c r="K11" i="1"/>
  <c r="G11" i="1"/>
  <c r="G6" i="1"/>
  <c r="L6" i="1" s="1"/>
  <c r="G5" i="1"/>
  <c r="L5" i="1" s="1"/>
  <c r="K4" i="1"/>
  <c r="L4" i="1" s="1"/>
  <c r="G4" i="1"/>
  <c r="K3" i="1"/>
  <c r="G3" i="1"/>
  <c r="L3" i="1" s="1"/>
  <c r="K2" i="1"/>
  <c r="L2" i="1" s="1"/>
  <c r="G2" i="1"/>
  <c r="L73" i="1" l="1"/>
  <c r="L74" i="1"/>
  <c r="L23" i="1"/>
  <c r="L27" i="1"/>
  <c r="L30" i="1"/>
  <c r="L51" i="1"/>
  <c r="L54" i="1"/>
  <c r="L58" i="1"/>
  <c r="L62" i="1"/>
  <c r="L65" i="1"/>
  <c r="L17" i="1"/>
  <c r="L24" i="1"/>
  <c r="L31" i="1"/>
  <c r="L35" i="1"/>
  <c r="L38" i="1"/>
  <c r="L55" i="1"/>
  <c r="L59" i="1"/>
  <c r="L66" i="1"/>
  <c r="L70" i="1"/>
  <c r="L11" i="1"/>
  <c r="L49" i="1"/>
  <c r="L25" i="1"/>
  <c r="L32" i="1"/>
  <c r="L43" i="1"/>
  <c r="L60" i="1"/>
  <c r="L12" i="1"/>
  <c r="L50" i="1"/>
  <c r="L13" i="1"/>
  <c r="L19" i="1"/>
  <c r="L22" i="1"/>
  <c r="L33" i="1"/>
  <c r="L57" i="1"/>
  <c r="L68" i="1"/>
  <c r="L75" i="1"/>
  <c r="L69" i="1"/>
  <c r="L76" i="1"/>
</calcChain>
</file>

<file path=xl/sharedStrings.xml><?xml version="1.0" encoding="utf-8"?>
<sst xmlns="http://schemas.openxmlformats.org/spreadsheetml/2006/main" count="334" uniqueCount="85">
  <si>
    <t>Bottle #</t>
  </si>
  <si>
    <t>LOT</t>
  </si>
  <si>
    <t>Pills Dispensed</t>
  </si>
  <si>
    <t>Visit Dispensed</t>
  </si>
  <si>
    <t>Date of First Dose</t>
  </si>
  <si>
    <t>Date of Last Dose</t>
  </si>
  <si>
    <t>Days Used</t>
  </si>
  <si>
    <t>Pills per Day</t>
  </si>
  <si>
    <t>Dose per Pill</t>
  </si>
  <si>
    <t>Pills in Bottle</t>
  </si>
  <si>
    <t>Pills Used</t>
  </si>
  <si>
    <t>Compliance?</t>
  </si>
  <si>
    <t>Returned?</t>
  </si>
  <si>
    <t>Date Returned</t>
  </si>
  <si>
    <t>V1 / Day -1</t>
  </si>
  <si>
    <t>4.45mg</t>
  </si>
  <si>
    <t>TC1 / Day 8</t>
  </si>
  <si>
    <t>17.8mg</t>
  </si>
  <si>
    <t>TC 2 / Day 15</t>
  </si>
  <si>
    <t>V2 / Day 22</t>
  </si>
  <si>
    <t>*ret 1.15.24</t>
  </si>
  <si>
    <t>*Not returned - subject will return at next office visit (1.15.2024 UPDATED!!!)</t>
  </si>
  <si>
    <t>N/A Redispensed via TC</t>
  </si>
  <si>
    <t>N/A</t>
  </si>
  <si>
    <t>**no days used**</t>
  </si>
  <si>
    <t>10001272 A</t>
  </si>
  <si>
    <t>10002272 B</t>
  </si>
  <si>
    <t>TC 3 / Month 2</t>
  </si>
  <si>
    <t>*Not returned - subject will return at next office visit (RETURNED 1.15.24 PS)</t>
  </si>
  <si>
    <t>10002276 C</t>
  </si>
  <si>
    <t>10002271 D</t>
  </si>
  <si>
    <t>10002277 E</t>
  </si>
  <si>
    <t>10001272 F</t>
  </si>
  <si>
    <t>TC 4 Month 3</t>
  </si>
  <si>
    <t>TC 5 / Month 4</t>
  </si>
  <si>
    <t>*Not returned - subject will return at next office visit (UPDATED 1.15.24PS)</t>
  </si>
  <si>
    <t>10001271 G</t>
  </si>
  <si>
    <t>Sent VIA FEDEX 4.19.23</t>
  </si>
  <si>
    <t>10002274 H</t>
  </si>
  <si>
    <t>NA</t>
  </si>
  <si>
    <t>TC 6 / Month 5</t>
  </si>
  <si>
    <t>*ret 7.17.23</t>
  </si>
  <si>
    <t>TC 7 / Month 6</t>
  </si>
  <si>
    <t>N/A Redispensed 7.17.23</t>
  </si>
  <si>
    <t>Visit 3 / Month 7</t>
  </si>
  <si>
    <t>re-dispensed over phone</t>
  </si>
  <si>
    <t>TC 8 / Month 8</t>
  </si>
  <si>
    <t>N/A * re-dispensed over phone</t>
  </si>
  <si>
    <t>TC 9 / Month 9</t>
  </si>
  <si>
    <t>N/A *re-dispensed over phone*</t>
  </si>
  <si>
    <t>TC 10 / Month 10</t>
  </si>
  <si>
    <t>N/a *subject confirmed over phone 11.3.23</t>
  </si>
  <si>
    <t>N/a *subject confirmed over phone 11.24.23</t>
  </si>
  <si>
    <t>TC 11 / Month 11</t>
  </si>
  <si>
    <t>N/a *subject confirmed over phone 12.20.23</t>
  </si>
  <si>
    <t>TC 12 / Month 12</t>
  </si>
  <si>
    <t>N/A *re-dispensed to subject at visit*</t>
  </si>
  <si>
    <t>V4 / Month 13</t>
  </si>
  <si>
    <t>*ret 8.13.24</t>
  </si>
  <si>
    <t>N/a *subject confirmed over phone 2.14.24</t>
  </si>
  <si>
    <t>TC 13 / Month 14</t>
  </si>
  <si>
    <t>N/a *subject confirmed over phone 3.14.24</t>
  </si>
  <si>
    <t>TC 14 / Month 15</t>
  </si>
  <si>
    <t>N/a *subject confirmed over phone 4.15.2024</t>
  </si>
  <si>
    <t>TC 15 / Month 16</t>
  </si>
  <si>
    <t>N/a *subject confirmed over phone 5.15.2024</t>
  </si>
  <si>
    <t>TC 16 / Month 17</t>
  </si>
  <si>
    <t>N/a *subject confirmed over phone 6/16/24* (confirmed that 16 pills were in bottle on 6/16/24, and no missed doses -- so pill count of 22 on 13JUN24 is correct)</t>
  </si>
  <si>
    <t>TC 17 / Month 18</t>
  </si>
  <si>
    <t>V5 / Month 19</t>
  </si>
  <si>
    <t>N/A *subject confirmed over phone 08/20 16 pills in bottle*</t>
  </si>
  <si>
    <t>TC 18 / Month 20</t>
  </si>
  <si>
    <t>*ret 2.20.2025*</t>
  </si>
  <si>
    <t>N/A *Subject confirmed over phone on 17SEP</t>
  </si>
  <si>
    <t>TC 19 / Month 21</t>
  </si>
  <si>
    <t>N/A *Subject confirmed over phone 15OCT</t>
  </si>
  <si>
    <t>TC 20 / Month 22</t>
  </si>
  <si>
    <t>N/A *Subject confirmed over phone 12NOV24</t>
  </si>
  <si>
    <t>TC 21 / Month 23</t>
  </si>
  <si>
    <t>*dispensed 7.17.23 for V3*</t>
  </si>
  <si>
    <t>*dispensed 8.2.23 unscheduled*</t>
  </si>
  <si>
    <t>USED</t>
  </si>
  <si>
    <t>*dispensed 11.3.2023* (SHIPPED TO SUBJECT)</t>
  </si>
  <si>
    <t>returned 1.15.24</t>
  </si>
  <si>
    <t>**dispensed 24JAN2023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</si>
</sst>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-&quot;mmm&quot;-&quot;yyyy"/>
    <numFmt numFmtId="165" formatCode="d\-mmm\-yyyy"/>
    <numFmt numFmtId="166" formatCode="d\-mmmm\-yyyy"/>
    <numFmt numFmtId="167" formatCode="dd\-mmm\-yyyy"/>
  </numFmts>
  <fonts count="10" x14ac:knownFonts="1">
    <font>
      <sz val="10"/>
      <color rgb="FF000000"/>
      <name val="Arial"/>
      <scheme val="minor"/>
    </font>
    <font>
      <b/>
      <u/>
      <sz val="10"/>
      <color theme="1"/>
      <name val="Arial"/>
      <scheme val="minor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222222"/>
      <name val="Arial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15" fontId="6" fillId="0" borderId="0" xfId="0" applyNumberFormat="1" applyFont="1" applyAlignment="1">
      <alignment horizontal="center"/>
    </xf>
    <xf numFmtId="0" fontId="5" fillId="0" borderId="0" xfId="0" applyFo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165" fontId="6" fillId="0" borderId="0" xfId="0" applyNumberFormat="1" applyFont="1"/>
    <xf numFmtId="0" fontId="5" fillId="3" borderId="0" xfId="0" applyFont="1" applyFill="1" applyAlignment="1">
      <alignment horizontal="center"/>
    </xf>
    <xf numFmtId="166" fontId="6" fillId="0" borderId="0" xfId="0" applyNumberFormat="1" applyFont="1"/>
    <xf numFmtId="0" fontId="6" fillId="3" borderId="0" xfId="0" applyFont="1" applyFill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166" fontId="6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/>
    </xf>
    <xf numFmtId="167" fontId="6" fillId="0" borderId="0" xfId="0" applyNumberFormat="1" applyFont="1" applyAlignment="1">
      <alignment horizontal="center"/>
    </xf>
    <xf numFmtId="0" fontId="6" fillId="3" borderId="0" xfId="0" applyFont="1" applyFill="1"/>
    <xf numFmtId="0" fontId="9" fillId="3" borderId="1" xfId="0" applyFont="1" applyFill="1" applyBorder="1"/>
    <xf numFmtId="0" fontId="9" fillId="3" borderId="2" xfId="0" applyFont="1" applyFill="1" applyBorder="1"/>
    <xf numFmtId="0" fontId="9" fillId="3" borderId="3" xfId="0" applyFont="1" applyFill="1" applyBorder="1"/>
    <xf numFmtId="0" fontId="6" fillId="3" borderId="4" xfId="0" applyFont="1" applyFill="1" applyBorder="1" applyAlignment="1">
      <alignment horizontal="center"/>
    </xf>
    <xf numFmtId="0" fontId="6" fillId="3" borderId="0" xfId="0" applyFont="1" applyFill="1" applyAlignment="1">
      <alignment horizontal="left"/>
    </xf>
    <xf numFmtId="0" fontId="5" fillId="3" borderId="5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5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O110"/>
  <sheetViews>
    <sheetView tabSelected="1" zoomScale="71" zoomScaleNormal="71" workbookViewId="0">
      <pane ySplit="1" topLeftCell="A2" activePane="bottomLeft" state="frozen"/>
      <selection pane="bottomLeft" sqref="A1:XFD1"/>
    </sheetView>
  </sheetViews>
  <sheetFormatPr defaultColWidth="12.5703125" defaultRowHeight="15.75" customHeight="1" x14ac:dyDescent="0.2"/>
  <cols>
    <col min="1" max="1" width="30" customWidth="1"/>
    <col min="2" max="2" width="22.28515625" customWidth="1"/>
    <col min="3" max="3" width="25.28515625" customWidth="1"/>
    <col min="4" max="4" width="30.85546875" customWidth="1"/>
    <col min="5" max="5" width="33.42578125" customWidth="1"/>
    <col min="6" max="6" width="40.7109375" customWidth="1"/>
    <col min="7" max="7" width="17.85546875" customWidth="1"/>
    <col min="8" max="8" width="27" customWidth="1"/>
    <col min="9" max="9" width="27.7109375" customWidth="1"/>
    <col min="10" max="10" width="27" customWidth="1"/>
    <col min="12" max="12" width="27.5703125" customWidth="1"/>
    <col min="13" max="13" width="33.28515625" customWidth="1"/>
    <col min="14" max="14" width="69.42578125" customWidth="1"/>
    <col min="15" max="15" width="16.42578125" customWidth="1"/>
  </cols>
  <sheetData>
    <row r="1" spans="1:15" x14ac:dyDescent="0.2">
      <c r="A1" s="4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3"/>
    </row>
    <row r="2" spans="1:15" x14ac:dyDescent="0.2">
      <c r="A2" s="5">
        <v>10000399</v>
      </c>
      <c r="B2" s="6">
        <v>75971</v>
      </c>
      <c r="C2" s="5">
        <v>30</v>
      </c>
      <c r="D2" s="6" t="s">
        <v>14</v>
      </c>
      <c r="E2" s="7">
        <v>44926</v>
      </c>
      <c r="F2" s="7">
        <v>44932</v>
      </c>
      <c r="G2" s="5">
        <f t="shared" ref="G2:G6" si="0">F2-E2+1</f>
        <v>7</v>
      </c>
      <c r="H2" s="5">
        <v>2</v>
      </c>
      <c r="I2" s="5" t="s">
        <v>15</v>
      </c>
      <c r="J2" s="5">
        <v>16</v>
      </c>
      <c r="K2" s="5">
        <f t="shared" ref="K2:K4" si="1">C2-J2</f>
        <v>14</v>
      </c>
      <c r="L2" s="8">
        <f>K2/(G2*H2)</f>
        <v>1</v>
      </c>
      <c r="M2" s="5" t="b">
        <v>1</v>
      </c>
      <c r="N2" s="9">
        <v>44950</v>
      </c>
      <c r="O2" s="10"/>
    </row>
    <row r="3" spans="1:15" x14ac:dyDescent="0.2">
      <c r="A3" s="5">
        <v>10001270</v>
      </c>
      <c r="B3" s="6">
        <v>75971</v>
      </c>
      <c r="C3" s="5">
        <v>30</v>
      </c>
      <c r="D3" s="6" t="s">
        <v>16</v>
      </c>
      <c r="E3" s="7">
        <v>44933</v>
      </c>
      <c r="F3" s="7">
        <v>44939</v>
      </c>
      <c r="G3" s="5">
        <f t="shared" si="0"/>
        <v>7</v>
      </c>
      <c r="H3" s="5">
        <v>1</v>
      </c>
      <c r="I3" s="5" t="s">
        <v>17</v>
      </c>
      <c r="J3" s="5">
        <v>24</v>
      </c>
      <c r="K3" s="5">
        <f t="shared" si="1"/>
        <v>6</v>
      </c>
      <c r="L3" s="8">
        <f t="shared" ref="L3:L6" si="2">K3/(G3*H3)</f>
        <v>0.8571428571428571</v>
      </c>
      <c r="M3" s="5" t="b">
        <v>1</v>
      </c>
      <c r="N3" s="9">
        <v>44950</v>
      </c>
      <c r="O3" s="10"/>
    </row>
    <row r="4" spans="1:15" x14ac:dyDescent="0.2">
      <c r="A4" s="5">
        <v>10001270</v>
      </c>
      <c r="B4" s="6">
        <v>75971</v>
      </c>
      <c r="C4" s="5">
        <v>24</v>
      </c>
      <c r="D4" s="6" t="s">
        <v>18</v>
      </c>
      <c r="E4" s="7">
        <v>44940</v>
      </c>
      <c r="F4" s="7">
        <v>44950</v>
      </c>
      <c r="G4" s="5">
        <f t="shared" si="0"/>
        <v>11</v>
      </c>
      <c r="H4" s="5">
        <v>2</v>
      </c>
      <c r="I4" s="5" t="s">
        <v>17</v>
      </c>
      <c r="J4" s="5">
        <v>2</v>
      </c>
      <c r="K4" s="5">
        <f t="shared" si="1"/>
        <v>22</v>
      </c>
      <c r="L4" s="8">
        <f t="shared" si="2"/>
        <v>1</v>
      </c>
      <c r="M4" s="5" t="b">
        <v>1</v>
      </c>
      <c r="N4" s="9">
        <v>44950</v>
      </c>
      <c r="O4" s="10"/>
    </row>
    <row r="5" spans="1:15" x14ac:dyDescent="0.2">
      <c r="A5" s="11">
        <v>10001267</v>
      </c>
      <c r="B5" s="12">
        <v>75971</v>
      </c>
      <c r="C5" s="11">
        <v>30</v>
      </c>
      <c r="D5" s="12" t="s">
        <v>19</v>
      </c>
      <c r="E5" s="13">
        <v>44951</v>
      </c>
      <c r="F5" s="13">
        <v>44965</v>
      </c>
      <c r="G5" s="11">
        <f t="shared" si="0"/>
        <v>15</v>
      </c>
      <c r="H5" s="11">
        <v>2</v>
      </c>
      <c r="I5" s="11" t="s">
        <v>17</v>
      </c>
      <c r="J5" s="11">
        <v>0</v>
      </c>
      <c r="K5" s="11">
        <v>30</v>
      </c>
      <c r="L5" s="14">
        <f t="shared" si="2"/>
        <v>1</v>
      </c>
      <c r="M5" s="11" t="b">
        <v>1</v>
      </c>
      <c r="N5" s="15" t="s">
        <v>20</v>
      </c>
      <c r="O5" s="10" t="s">
        <v>21</v>
      </c>
    </row>
    <row r="6" spans="1:15" x14ac:dyDescent="0.2">
      <c r="A6" s="5">
        <v>10002272</v>
      </c>
      <c r="B6" s="6">
        <v>75971</v>
      </c>
      <c r="C6" s="5">
        <v>30</v>
      </c>
      <c r="D6" s="6" t="s">
        <v>19</v>
      </c>
      <c r="E6" s="7">
        <v>44966</v>
      </c>
      <c r="F6" s="7">
        <v>44974</v>
      </c>
      <c r="G6" s="5">
        <f t="shared" si="0"/>
        <v>9</v>
      </c>
      <c r="H6" s="5">
        <v>2</v>
      </c>
      <c r="I6" s="5" t="s">
        <v>17</v>
      </c>
      <c r="J6" s="5">
        <v>8</v>
      </c>
      <c r="K6" s="5">
        <v>22</v>
      </c>
      <c r="L6" s="8">
        <f t="shared" si="2"/>
        <v>1.2222222222222223</v>
      </c>
      <c r="M6" s="5" t="s">
        <v>22</v>
      </c>
      <c r="O6" s="10"/>
    </row>
    <row r="7" spans="1:15" x14ac:dyDescent="0.2">
      <c r="A7" s="5">
        <v>10002276</v>
      </c>
      <c r="B7" s="6">
        <v>75971</v>
      </c>
      <c r="C7" s="5">
        <v>30</v>
      </c>
      <c r="D7" s="6" t="s">
        <v>19</v>
      </c>
      <c r="E7" s="5" t="s">
        <v>23</v>
      </c>
      <c r="F7" s="5" t="s">
        <v>23</v>
      </c>
      <c r="G7" s="5" t="s">
        <v>24</v>
      </c>
      <c r="H7" s="5" t="s">
        <v>23</v>
      </c>
      <c r="I7" s="5" t="s">
        <v>17</v>
      </c>
      <c r="J7" s="5" t="s">
        <v>23</v>
      </c>
      <c r="K7" s="5" t="s">
        <v>23</v>
      </c>
      <c r="L7" s="5" t="s">
        <v>23</v>
      </c>
      <c r="M7" s="5" t="s">
        <v>22</v>
      </c>
      <c r="N7" s="5" t="s">
        <v>22</v>
      </c>
      <c r="O7" s="10"/>
    </row>
    <row r="8" spans="1:15" x14ac:dyDescent="0.2">
      <c r="A8" s="16">
        <v>10002271</v>
      </c>
      <c r="B8" s="6">
        <v>75971</v>
      </c>
      <c r="C8" s="5">
        <v>30</v>
      </c>
      <c r="D8" s="6" t="s">
        <v>19</v>
      </c>
      <c r="E8" s="5" t="s">
        <v>23</v>
      </c>
      <c r="F8" s="5" t="s">
        <v>23</v>
      </c>
      <c r="G8" s="5" t="s">
        <v>24</v>
      </c>
      <c r="H8" s="5" t="s">
        <v>23</v>
      </c>
      <c r="I8" s="5" t="s">
        <v>17</v>
      </c>
      <c r="J8" s="5" t="s">
        <v>23</v>
      </c>
      <c r="K8" s="5" t="s">
        <v>23</v>
      </c>
      <c r="L8" s="5" t="s">
        <v>23</v>
      </c>
      <c r="M8" s="5" t="s">
        <v>22</v>
      </c>
      <c r="N8" s="5" t="s">
        <v>22</v>
      </c>
      <c r="O8" s="10"/>
    </row>
    <row r="9" spans="1:15" x14ac:dyDescent="0.2">
      <c r="A9" s="16">
        <v>10002277</v>
      </c>
      <c r="B9" s="6">
        <v>75971</v>
      </c>
      <c r="C9" s="5">
        <v>30</v>
      </c>
      <c r="D9" s="6" t="s">
        <v>19</v>
      </c>
      <c r="E9" s="5" t="s">
        <v>23</v>
      </c>
      <c r="F9" s="5" t="s">
        <v>23</v>
      </c>
      <c r="G9" s="5" t="s">
        <v>24</v>
      </c>
      <c r="H9" s="5" t="s">
        <v>23</v>
      </c>
      <c r="I9" s="5" t="s">
        <v>17</v>
      </c>
      <c r="J9" s="5" t="s">
        <v>23</v>
      </c>
      <c r="K9" s="5" t="s">
        <v>23</v>
      </c>
      <c r="L9" s="5" t="s">
        <v>23</v>
      </c>
      <c r="M9" s="5" t="s">
        <v>22</v>
      </c>
      <c r="N9" s="5" t="s">
        <v>22</v>
      </c>
      <c r="O9" s="10"/>
    </row>
    <row r="10" spans="1:15" x14ac:dyDescent="0.2">
      <c r="A10" s="5" t="s">
        <v>25</v>
      </c>
      <c r="B10" s="6">
        <v>75971</v>
      </c>
      <c r="C10" s="5">
        <v>30</v>
      </c>
      <c r="D10" s="6" t="s">
        <v>19</v>
      </c>
      <c r="E10" s="5" t="s">
        <v>23</v>
      </c>
      <c r="F10" s="5" t="s">
        <v>23</v>
      </c>
      <c r="G10" s="5" t="s">
        <v>24</v>
      </c>
      <c r="H10" s="5" t="s">
        <v>23</v>
      </c>
      <c r="I10" s="5" t="s">
        <v>17</v>
      </c>
      <c r="J10" s="5" t="s">
        <v>23</v>
      </c>
      <c r="K10" s="5" t="s">
        <v>23</v>
      </c>
      <c r="L10" s="5" t="s">
        <v>23</v>
      </c>
      <c r="M10" s="5" t="s">
        <v>22</v>
      </c>
      <c r="N10" s="5" t="s">
        <v>22</v>
      </c>
      <c r="O10" s="10"/>
    </row>
    <row r="11" spans="1:15" x14ac:dyDescent="0.2">
      <c r="A11" s="11" t="s">
        <v>26</v>
      </c>
      <c r="B11" s="12">
        <v>75971</v>
      </c>
      <c r="C11" s="11">
        <v>8</v>
      </c>
      <c r="D11" s="12" t="s">
        <v>27</v>
      </c>
      <c r="E11" s="13">
        <v>44975</v>
      </c>
      <c r="F11" s="13">
        <v>44978</v>
      </c>
      <c r="G11" s="11">
        <f t="shared" ref="G11:G13" si="3">F11-E11+1</f>
        <v>4</v>
      </c>
      <c r="H11" s="11">
        <v>2</v>
      </c>
      <c r="I11" s="11" t="s">
        <v>17</v>
      </c>
      <c r="J11" s="11">
        <v>0</v>
      </c>
      <c r="K11" s="11">
        <f t="shared" ref="K11:K13" si="4">C11-J11</f>
        <v>8</v>
      </c>
      <c r="L11" s="14">
        <f t="shared" ref="L11:L13" si="5">K11/(G11*H11)</f>
        <v>1</v>
      </c>
      <c r="M11" s="11" t="b">
        <v>1</v>
      </c>
      <c r="N11" s="15" t="s">
        <v>20</v>
      </c>
      <c r="O11" s="10" t="s">
        <v>28</v>
      </c>
    </row>
    <row r="12" spans="1:15" x14ac:dyDescent="0.2">
      <c r="A12" s="11" t="s">
        <v>29</v>
      </c>
      <c r="B12" s="12">
        <v>75971</v>
      </c>
      <c r="C12" s="11">
        <v>30</v>
      </c>
      <c r="D12" s="12" t="s">
        <v>27</v>
      </c>
      <c r="E12" s="13">
        <v>44979</v>
      </c>
      <c r="F12" s="13">
        <v>44993</v>
      </c>
      <c r="G12" s="11">
        <f t="shared" si="3"/>
        <v>15</v>
      </c>
      <c r="H12" s="11">
        <v>2</v>
      </c>
      <c r="I12" s="11" t="s">
        <v>17</v>
      </c>
      <c r="J12" s="11">
        <v>0</v>
      </c>
      <c r="K12" s="11">
        <f t="shared" si="4"/>
        <v>30</v>
      </c>
      <c r="L12" s="14">
        <f t="shared" si="5"/>
        <v>1</v>
      </c>
      <c r="M12" s="11" t="b">
        <v>1</v>
      </c>
      <c r="N12" s="15" t="s">
        <v>20</v>
      </c>
      <c r="O12" s="10" t="s">
        <v>28</v>
      </c>
    </row>
    <row r="13" spans="1:15" x14ac:dyDescent="0.2">
      <c r="A13" s="16" t="s">
        <v>30</v>
      </c>
      <c r="B13" s="6">
        <v>75971</v>
      </c>
      <c r="C13" s="5">
        <v>30</v>
      </c>
      <c r="D13" s="6" t="s">
        <v>27</v>
      </c>
      <c r="E13" s="7">
        <v>44994</v>
      </c>
      <c r="F13" s="7">
        <v>45007</v>
      </c>
      <c r="G13" s="5">
        <f t="shared" si="3"/>
        <v>14</v>
      </c>
      <c r="H13" s="5">
        <v>2</v>
      </c>
      <c r="I13" s="5" t="s">
        <v>17</v>
      </c>
      <c r="J13" s="5">
        <v>4</v>
      </c>
      <c r="K13" s="5">
        <f t="shared" si="4"/>
        <v>26</v>
      </c>
      <c r="L13" s="8">
        <f t="shared" si="5"/>
        <v>0.9285714285714286</v>
      </c>
      <c r="M13" s="5" t="s">
        <v>22</v>
      </c>
      <c r="N13" s="5" t="s">
        <v>22</v>
      </c>
    </row>
    <row r="14" spans="1:15" x14ac:dyDescent="0.2">
      <c r="A14" s="16" t="s">
        <v>31</v>
      </c>
      <c r="B14" s="6">
        <v>75971</v>
      </c>
      <c r="C14" s="5">
        <v>30</v>
      </c>
      <c r="D14" s="6" t="s">
        <v>27</v>
      </c>
      <c r="E14" s="5" t="s">
        <v>23</v>
      </c>
      <c r="F14" s="5" t="s">
        <v>23</v>
      </c>
      <c r="G14" s="5" t="s">
        <v>24</v>
      </c>
      <c r="H14" s="5" t="s">
        <v>23</v>
      </c>
      <c r="I14" s="5" t="s">
        <v>17</v>
      </c>
      <c r="J14" s="5" t="s">
        <v>23</v>
      </c>
      <c r="K14" s="5" t="s">
        <v>23</v>
      </c>
      <c r="L14" s="5" t="s">
        <v>23</v>
      </c>
      <c r="M14" s="5" t="s">
        <v>22</v>
      </c>
      <c r="N14" s="5" t="s">
        <v>22</v>
      </c>
    </row>
    <row r="15" spans="1:15" x14ac:dyDescent="0.2">
      <c r="A15" s="5" t="s">
        <v>32</v>
      </c>
      <c r="B15" s="6">
        <v>75971</v>
      </c>
      <c r="C15" s="5">
        <v>30</v>
      </c>
      <c r="D15" s="6" t="s">
        <v>27</v>
      </c>
      <c r="E15" s="5" t="s">
        <v>23</v>
      </c>
      <c r="F15" s="5" t="s">
        <v>23</v>
      </c>
      <c r="G15" s="5" t="s">
        <v>24</v>
      </c>
      <c r="H15" s="5" t="s">
        <v>23</v>
      </c>
      <c r="I15" s="5" t="s">
        <v>17</v>
      </c>
      <c r="J15" s="5" t="s">
        <v>23</v>
      </c>
      <c r="K15" s="5" t="s">
        <v>23</v>
      </c>
      <c r="L15" s="5" t="s">
        <v>23</v>
      </c>
      <c r="M15" s="5" t="s">
        <v>22</v>
      </c>
      <c r="N15" s="5" t="s">
        <v>22</v>
      </c>
    </row>
    <row r="16" spans="1:15" x14ac:dyDescent="0.2">
      <c r="A16" s="16" t="s">
        <v>30</v>
      </c>
      <c r="B16" s="6">
        <v>75971</v>
      </c>
      <c r="C16" s="5">
        <v>4</v>
      </c>
      <c r="D16" s="6" t="s">
        <v>33</v>
      </c>
      <c r="E16" s="17">
        <v>45008</v>
      </c>
      <c r="F16" s="17">
        <v>45009</v>
      </c>
      <c r="G16" s="6">
        <v>2</v>
      </c>
      <c r="H16" s="6">
        <v>2</v>
      </c>
      <c r="I16" s="5" t="s">
        <v>17</v>
      </c>
      <c r="J16" s="6">
        <v>0</v>
      </c>
      <c r="K16" s="18">
        <f t="shared" ref="K16:K76" si="6">C16-J16</f>
        <v>4</v>
      </c>
      <c r="L16" s="8">
        <f t="shared" ref="L16:L76" si="7">K16/(G16*H16)</f>
        <v>1</v>
      </c>
      <c r="M16" s="11" t="b">
        <v>1</v>
      </c>
      <c r="N16" s="15" t="s">
        <v>20</v>
      </c>
    </row>
    <row r="17" spans="1:15" x14ac:dyDescent="0.2">
      <c r="A17" s="16" t="s">
        <v>31</v>
      </c>
      <c r="B17" s="6">
        <v>75971</v>
      </c>
      <c r="C17" s="5">
        <v>30</v>
      </c>
      <c r="D17" s="6" t="s">
        <v>33</v>
      </c>
      <c r="E17" s="17">
        <v>45010</v>
      </c>
      <c r="F17" s="17">
        <v>45024</v>
      </c>
      <c r="G17" s="5">
        <f t="shared" ref="G17:G40" si="8">F17-E17+1</f>
        <v>15</v>
      </c>
      <c r="H17" s="6">
        <v>2</v>
      </c>
      <c r="I17" s="5" t="s">
        <v>17</v>
      </c>
      <c r="J17" s="6">
        <v>0</v>
      </c>
      <c r="K17" s="18">
        <f t="shared" si="6"/>
        <v>30</v>
      </c>
      <c r="L17" s="8">
        <f t="shared" si="7"/>
        <v>1</v>
      </c>
      <c r="M17" s="11" t="b">
        <v>1</v>
      </c>
      <c r="N17" s="15" t="s">
        <v>20</v>
      </c>
    </row>
    <row r="18" spans="1:15" x14ac:dyDescent="0.2">
      <c r="A18" s="5" t="s">
        <v>32</v>
      </c>
      <c r="B18" s="6">
        <v>75971</v>
      </c>
      <c r="C18" s="5">
        <v>30</v>
      </c>
      <c r="D18" s="6" t="s">
        <v>33</v>
      </c>
      <c r="E18" s="17">
        <v>45025</v>
      </c>
      <c r="F18" s="17">
        <v>45035</v>
      </c>
      <c r="G18" s="5">
        <f t="shared" si="8"/>
        <v>11</v>
      </c>
      <c r="H18" s="6">
        <v>2</v>
      </c>
      <c r="I18" s="5" t="s">
        <v>17</v>
      </c>
      <c r="J18" s="6">
        <v>12</v>
      </c>
      <c r="K18" s="18">
        <f t="shared" si="6"/>
        <v>18</v>
      </c>
      <c r="L18" s="8">
        <f t="shared" si="7"/>
        <v>0.81818181818181823</v>
      </c>
      <c r="M18" s="5" t="s">
        <v>22</v>
      </c>
      <c r="N18" s="5" t="s">
        <v>22</v>
      </c>
    </row>
    <row r="19" spans="1:15" x14ac:dyDescent="0.2">
      <c r="A19" s="5" t="s">
        <v>32</v>
      </c>
      <c r="B19" s="6">
        <v>75971</v>
      </c>
      <c r="C19" s="5">
        <v>12</v>
      </c>
      <c r="D19" s="6" t="s">
        <v>34</v>
      </c>
      <c r="E19" s="17">
        <v>45036</v>
      </c>
      <c r="F19" s="17">
        <v>45041</v>
      </c>
      <c r="G19" s="5">
        <f t="shared" si="8"/>
        <v>6</v>
      </c>
      <c r="H19" s="6">
        <v>2</v>
      </c>
      <c r="I19" s="5" t="s">
        <v>17</v>
      </c>
      <c r="J19" s="6">
        <v>0</v>
      </c>
      <c r="K19" s="18">
        <f t="shared" si="6"/>
        <v>12</v>
      </c>
      <c r="L19" s="8">
        <f t="shared" si="7"/>
        <v>1</v>
      </c>
      <c r="M19" s="11" t="b">
        <v>1</v>
      </c>
      <c r="N19" s="15" t="s">
        <v>20</v>
      </c>
      <c r="O19" s="10" t="s">
        <v>35</v>
      </c>
    </row>
    <row r="20" spans="1:15" x14ac:dyDescent="0.2">
      <c r="A20" s="6" t="s">
        <v>36</v>
      </c>
      <c r="B20" s="6">
        <v>75971</v>
      </c>
      <c r="C20" s="5">
        <v>30</v>
      </c>
      <c r="D20" s="6" t="s">
        <v>34</v>
      </c>
      <c r="E20" s="17">
        <v>45042</v>
      </c>
      <c r="F20" s="19">
        <v>45056</v>
      </c>
      <c r="G20" s="5">
        <f t="shared" si="8"/>
        <v>15</v>
      </c>
      <c r="H20" s="6">
        <v>2</v>
      </c>
      <c r="I20" s="5" t="s">
        <v>17</v>
      </c>
      <c r="J20" s="6">
        <v>0</v>
      </c>
      <c r="K20" s="18">
        <f t="shared" si="6"/>
        <v>30</v>
      </c>
      <c r="L20" s="8">
        <f t="shared" si="7"/>
        <v>1</v>
      </c>
      <c r="M20" s="11" t="b">
        <v>1</v>
      </c>
      <c r="N20" s="15" t="s">
        <v>20</v>
      </c>
      <c r="O20" s="15" t="s">
        <v>37</v>
      </c>
    </row>
    <row r="21" spans="1:15" x14ac:dyDescent="0.2">
      <c r="A21" s="6" t="s">
        <v>38</v>
      </c>
      <c r="B21" s="6">
        <v>75971</v>
      </c>
      <c r="C21" s="5">
        <v>30</v>
      </c>
      <c r="D21" s="6" t="s">
        <v>34</v>
      </c>
      <c r="E21" s="19">
        <v>45057</v>
      </c>
      <c r="F21" s="19">
        <v>45066</v>
      </c>
      <c r="G21" s="5">
        <f t="shared" si="8"/>
        <v>10</v>
      </c>
      <c r="H21" s="6">
        <v>2</v>
      </c>
      <c r="I21" s="5" t="s">
        <v>17</v>
      </c>
      <c r="J21" s="6">
        <v>12</v>
      </c>
      <c r="K21" s="18">
        <f t="shared" si="6"/>
        <v>18</v>
      </c>
      <c r="L21" s="8">
        <f t="shared" si="7"/>
        <v>0.9</v>
      </c>
      <c r="M21" s="5" t="s">
        <v>22</v>
      </c>
      <c r="N21" s="15" t="s">
        <v>39</v>
      </c>
      <c r="O21" s="15" t="s">
        <v>37</v>
      </c>
    </row>
    <row r="22" spans="1:15" x14ac:dyDescent="0.2">
      <c r="A22" s="6" t="s">
        <v>38</v>
      </c>
      <c r="B22" s="6">
        <v>75971</v>
      </c>
      <c r="C22" s="5">
        <v>12</v>
      </c>
      <c r="D22" s="6" t="s">
        <v>40</v>
      </c>
      <c r="E22" s="19">
        <v>45067</v>
      </c>
      <c r="F22" s="19">
        <v>45072</v>
      </c>
      <c r="G22" s="5">
        <f t="shared" si="8"/>
        <v>6</v>
      </c>
      <c r="H22" s="6">
        <v>2</v>
      </c>
      <c r="I22" s="5" t="s">
        <v>17</v>
      </c>
      <c r="J22" s="6">
        <v>0</v>
      </c>
      <c r="K22" s="18">
        <f t="shared" si="6"/>
        <v>12</v>
      </c>
      <c r="L22" s="8">
        <f t="shared" si="7"/>
        <v>1</v>
      </c>
      <c r="M22" s="11" t="b">
        <v>1</v>
      </c>
      <c r="N22" s="15" t="s">
        <v>41</v>
      </c>
    </row>
    <row r="23" spans="1:15" x14ac:dyDescent="0.2">
      <c r="A23" s="6">
        <v>10002991</v>
      </c>
      <c r="B23" s="6">
        <v>75971</v>
      </c>
      <c r="C23" s="5">
        <v>30</v>
      </c>
      <c r="D23" s="6" t="s">
        <v>40</v>
      </c>
      <c r="E23" s="19">
        <v>45073</v>
      </c>
      <c r="F23" s="17">
        <v>45087</v>
      </c>
      <c r="G23" s="5">
        <f t="shared" si="8"/>
        <v>15</v>
      </c>
      <c r="H23" s="6">
        <v>2</v>
      </c>
      <c r="I23" s="5" t="s">
        <v>17</v>
      </c>
      <c r="J23" s="6">
        <v>0</v>
      </c>
      <c r="K23" s="18">
        <f t="shared" si="6"/>
        <v>30</v>
      </c>
      <c r="L23" s="8">
        <f t="shared" si="7"/>
        <v>1</v>
      </c>
      <c r="M23" s="11" t="b">
        <v>1</v>
      </c>
      <c r="N23" s="15" t="s">
        <v>41</v>
      </c>
    </row>
    <row r="24" spans="1:15" x14ac:dyDescent="0.2">
      <c r="A24" s="6">
        <v>10002990</v>
      </c>
      <c r="B24" s="6">
        <v>75971</v>
      </c>
      <c r="C24" s="5">
        <v>30</v>
      </c>
      <c r="D24" s="6" t="s">
        <v>40</v>
      </c>
      <c r="E24" s="17">
        <v>45088</v>
      </c>
      <c r="F24" s="17">
        <v>45098</v>
      </c>
      <c r="G24" s="5">
        <f t="shared" si="8"/>
        <v>11</v>
      </c>
      <c r="H24" s="6">
        <v>2</v>
      </c>
      <c r="I24" s="5" t="s">
        <v>17</v>
      </c>
      <c r="J24" s="6">
        <v>12</v>
      </c>
      <c r="K24" s="18">
        <f t="shared" si="6"/>
        <v>18</v>
      </c>
      <c r="L24" s="8">
        <f t="shared" si="7"/>
        <v>0.81818181818181823</v>
      </c>
      <c r="M24" s="15" t="s">
        <v>22</v>
      </c>
      <c r="N24" s="15" t="s">
        <v>39</v>
      </c>
    </row>
    <row r="25" spans="1:15" x14ac:dyDescent="0.2">
      <c r="A25" s="6">
        <v>10002990</v>
      </c>
      <c r="B25" s="6">
        <v>75971</v>
      </c>
      <c r="C25" s="5">
        <v>12</v>
      </c>
      <c r="D25" s="6" t="s">
        <v>42</v>
      </c>
      <c r="E25" s="17">
        <v>45099</v>
      </c>
      <c r="F25" s="17">
        <v>45104</v>
      </c>
      <c r="G25" s="5">
        <f t="shared" si="8"/>
        <v>6</v>
      </c>
      <c r="H25" s="6">
        <v>2</v>
      </c>
      <c r="I25" s="5" t="s">
        <v>17</v>
      </c>
      <c r="J25" s="6">
        <v>0</v>
      </c>
      <c r="K25" s="18">
        <f t="shared" si="6"/>
        <v>12</v>
      </c>
      <c r="L25" s="8">
        <f t="shared" si="7"/>
        <v>1</v>
      </c>
      <c r="M25" s="11" t="b">
        <v>1</v>
      </c>
      <c r="N25" s="15" t="s">
        <v>41</v>
      </c>
    </row>
    <row r="26" spans="1:15" x14ac:dyDescent="0.2">
      <c r="A26" s="20">
        <v>10003001</v>
      </c>
      <c r="B26" s="6">
        <v>75971</v>
      </c>
      <c r="C26" s="5">
        <v>30</v>
      </c>
      <c r="D26" s="6" t="s">
        <v>42</v>
      </c>
      <c r="E26" s="17">
        <v>45105</v>
      </c>
      <c r="F26" s="17">
        <v>45119</v>
      </c>
      <c r="G26" s="5">
        <f t="shared" si="8"/>
        <v>15</v>
      </c>
      <c r="H26" s="6">
        <v>2</v>
      </c>
      <c r="I26" s="5" t="s">
        <v>17</v>
      </c>
      <c r="J26" s="6">
        <v>0</v>
      </c>
      <c r="K26" s="18">
        <f t="shared" si="6"/>
        <v>30</v>
      </c>
      <c r="L26" s="8">
        <f t="shared" si="7"/>
        <v>1</v>
      </c>
      <c r="M26" s="11" t="b">
        <v>1</v>
      </c>
      <c r="N26" s="15" t="s">
        <v>41</v>
      </c>
    </row>
    <row r="27" spans="1:15" x14ac:dyDescent="0.2">
      <c r="A27" s="20">
        <v>10002998</v>
      </c>
      <c r="B27" s="6">
        <v>75971</v>
      </c>
      <c r="C27" s="5">
        <v>30</v>
      </c>
      <c r="D27" s="6" t="s">
        <v>42</v>
      </c>
      <c r="E27" s="17">
        <v>45120</v>
      </c>
      <c r="F27" s="17">
        <v>45124</v>
      </c>
      <c r="G27" s="5">
        <f t="shared" si="8"/>
        <v>5</v>
      </c>
      <c r="H27" s="6">
        <v>2</v>
      </c>
      <c r="I27" s="5" t="s">
        <v>17</v>
      </c>
      <c r="J27" s="12">
        <v>20</v>
      </c>
      <c r="K27" s="18">
        <f t="shared" si="6"/>
        <v>10</v>
      </c>
      <c r="L27" s="8">
        <f t="shared" si="7"/>
        <v>1</v>
      </c>
      <c r="M27" s="15" t="s">
        <v>43</v>
      </c>
    </row>
    <row r="28" spans="1:15" x14ac:dyDescent="0.2">
      <c r="A28" s="20">
        <v>10002998</v>
      </c>
      <c r="B28" s="6">
        <v>75971</v>
      </c>
      <c r="C28" s="6">
        <v>20</v>
      </c>
      <c r="D28" s="6" t="s">
        <v>44</v>
      </c>
      <c r="E28" s="17">
        <v>45125</v>
      </c>
      <c r="F28" s="17">
        <v>45134</v>
      </c>
      <c r="G28" s="5">
        <f t="shared" si="8"/>
        <v>10</v>
      </c>
      <c r="H28" s="6">
        <v>2</v>
      </c>
      <c r="I28" s="6" t="s">
        <v>17</v>
      </c>
      <c r="J28" s="6">
        <v>0</v>
      </c>
      <c r="K28" s="18">
        <f t="shared" si="6"/>
        <v>20</v>
      </c>
      <c r="L28" s="8">
        <f t="shared" si="7"/>
        <v>1</v>
      </c>
      <c r="M28" s="11" t="b">
        <v>1</v>
      </c>
      <c r="N28" s="15" t="s">
        <v>20</v>
      </c>
    </row>
    <row r="29" spans="1:15" x14ac:dyDescent="0.2">
      <c r="A29" s="20">
        <v>10002995</v>
      </c>
      <c r="B29" s="6">
        <v>75971</v>
      </c>
      <c r="C29" s="6">
        <v>30</v>
      </c>
      <c r="D29" s="6" t="s">
        <v>44</v>
      </c>
      <c r="E29" s="17">
        <v>45135</v>
      </c>
      <c r="F29" s="17">
        <v>45149</v>
      </c>
      <c r="G29" s="5">
        <f t="shared" si="8"/>
        <v>15</v>
      </c>
      <c r="H29" s="6">
        <v>2</v>
      </c>
      <c r="I29" s="6" t="s">
        <v>17</v>
      </c>
      <c r="J29" s="6">
        <v>0</v>
      </c>
      <c r="K29" s="18">
        <f t="shared" si="6"/>
        <v>30</v>
      </c>
      <c r="L29" s="8">
        <f t="shared" si="7"/>
        <v>1</v>
      </c>
      <c r="M29" s="11" t="b">
        <v>1</v>
      </c>
      <c r="N29" s="15" t="s">
        <v>20</v>
      </c>
    </row>
    <row r="30" spans="1:15" x14ac:dyDescent="0.2">
      <c r="A30" s="20">
        <v>10003422</v>
      </c>
      <c r="B30" s="6">
        <v>75971</v>
      </c>
      <c r="C30" s="6">
        <v>30</v>
      </c>
      <c r="D30" s="6" t="s">
        <v>44</v>
      </c>
      <c r="E30" s="17">
        <v>45150</v>
      </c>
      <c r="F30" s="17">
        <v>45156</v>
      </c>
      <c r="G30" s="5">
        <f t="shared" si="8"/>
        <v>7</v>
      </c>
      <c r="H30" s="6">
        <v>2</v>
      </c>
      <c r="I30" s="6" t="s">
        <v>17</v>
      </c>
      <c r="J30" s="6">
        <v>16</v>
      </c>
      <c r="K30" s="18">
        <f t="shared" si="6"/>
        <v>14</v>
      </c>
      <c r="L30" s="8">
        <f t="shared" si="7"/>
        <v>1</v>
      </c>
      <c r="M30" s="11" t="s">
        <v>23</v>
      </c>
      <c r="N30" s="15" t="s">
        <v>45</v>
      </c>
    </row>
    <row r="31" spans="1:15" x14ac:dyDescent="0.2">
      <c r="A31" s="20">
        <v>10003422</v>
      </c>
      <c r="B31" s="6">
        <v>75971</v>
      </c>
      <c r="C31" s="6">
        <v>16</v>
      </c>
      <c r="D31" s="6" t="s">
        <v>46</v>
      </c>
      <c r="E31" s="17">
        <v>45157</v>
      </c>
      <c r="F31" s="17">
        <v>45164</v>
      </c>
      <c r="G31" s="5">
        <f t="shared" si="8"/>
        <v>8</v>
      </c>
      <c r="H31" s="6">
        <v>2</v>
      </c>
      <c r="I31" s="6" t="s">
        <v>17</v>
      </c>
      <c r="J31" s="6">
        <v>0</v>
      </c>
      <c r="K31" s="18">
        <f t="shared" si="6"/>
        <v>16</v>
      </c>
      <c r="L31" s="8">
        <f t="shared" si="7"/>
        <v>1</v>
      </c>
      <c r="M31" s="11" t="b">
        <v>1</v>
      </c>
      <c r="N31" s="15" t="s">
        <v>20</v>
      </c>
    </row>
    <row r="32" spans="1:15" x14ac:dyDescent="0.2">
      <c r="A32" s="6">
        <v>10003434</v>
      </c>
      <c r="B32" s="6">
        <v>75971</v>
      </c>
      <c r="C32" s="6">
        <v>30</v>
      </c>
      <c r="D32" s="6" t="s">
        <v>46</v>
      </c>
      <c r="E32" s="17">
        <v>45165</v>
      </c>
      <c r="F32" s="17">
        <v>45179</v>
      </c>
      <c r="G32" s="5">
        <f t="shared" si="8"/>
        <v>15</v>
      </c>
      <c r="H32" s="6">
        <v>2</v>
      </c>
      <c r="I32" s="6" t="s">
        <v>17</v>
      </c>
      <c r="J32" s="6">
        <v>0</v>
      </c>
      <c r="K32" s="18">
        <f t="shared" si="6"/>
        <v>30</v>
      </c>
      <c r="L32" s="8">
        <f t="shared" si="7"/>
        <v>1</v>
      </c>
      <c r="M32" s="11" t="b">
        <v>1</v>
      </c>
      <c r="N32" s="15" t="s">
        <v>20</v>
      </c>
    </row>
    <row r="33" spans="1:14" x14ac:dyDescent="0.2">
      <c r="A33" s="6">
        <v>10003425</v>
      </c>
      <c r="B33" s="6">
        <v>75971</v>
      </c>
      <c r="C33" s="6">
        <v>30</v>
      </c>
      <c r="D33" s="6" t="s">
        <v>46</v>
      </c>
      <c r="E33" s="17">
        <v>45180</v>
      </c>
      <c r="F33" s="17">
        <v>45183</v>
      </c>
      <c r="G33" s="5">
        <f t="shared" si="8"/>
        <v>4</v>
      </c>
      <c r="H33" s="6">
        <v>2</v>
      </c>
      <c r="I33" s="6" t="s">
        <v>17</v>
      </c>
      <c r="J33" s="6">
        <v>26</v>
      </c>
      <c r="K33" s="18">
        <f t="shared" si="6"/>
        <v>4</v>
      </c>
      <c r="L33" s="8">
        <f t="shared" si="7"/>
        <v>0.5</v>
      </c>
      <c r="M33" s="15" t="s">
        <v>47</v>
      </c>
      <c r="N33" s="15"/>
    </row>
    <row r="34" spans="1:14" x14ac:dyDescent="0.2">
      <c r="A34" s="6">
        <v>10003425</v>
      </c>
      <c r="B34" s="6">
        <v>75971</v>
      </c>
      <c r="C34" s="6">
        <v>26</v>
      </c>
      <c r="D34" s="6" t="s">
        <v>48</v>
      </c>
      <c r="E34" s="17">
        <v>45184</v>
      </c>
      <c r="F34" s="17">
        <v>45196</v>
      </c>
      <c r="G34" s="5">
        <f t="shared" si="8"/>
        <v>13</v>
      </c>
      <c r="H34" s="6">
        <v>2</v>
      </c>
      <c r="I34" s="6" t="s">
        <v>17</v>
      </c>
      <c r="J34" s="6">
        <v>0</v>
      </c>
      <c r="K34" s="18">
        <f t="shared" si="6"/>
        <v>26</v>
      </c>
      <c r="L34" s="8">
        <f t="shared" si="7"/>
        <v>1</v>
      </c>
      <c r="M34" s="11" t="b">
        <v>1</v>
      </c>
      <c r="N34" s="15" t="s">
        <v>20</v>
      </c>
    </row>
    <row r="35" spans="1:14" x14ac:dyDescent="0.2">
      <c r="A35" s="6">
        <v>10003420</v>
      </c>
      <c r="B35" s="6">
        <v>75971</v>
      </c>
      <c r="C35" s="6">
        <v>30</v>
      </c>
      <c r="D35" s="6" t="s">
        <v>48</v>
      </c>
      <c r="E35" s="17">
        <v>45197</v>
      </c>
      <c r="F35" s="17">
        <v>45211</v>
      </c>
      <c r="G35" s="5">
        <f t="shared" si="8"/>
        <v>15</v>
      </c>
      <c r="H35" s="6">
        <v>2</v>
      </c>
      <c r="I35" s="6" t="s">
        <v>17</v>
      </c>
      <c r="J35" s="6">
        <v>0</v>
      </c>
      <c r="K35" s="18">
        <f t="shared" si="6"/>
        <v>30</v>
      </c>
      <c r="L35" s="8">
        <f t="shared" si="7"/>
        <v>1</v>
      </c>
      <c r="M35" s="11" t="b">
        <v>1</v>
      </c>
      <c r="N35" s="15" t="s">
        <v>20</v>
      </c>
    </row>
    <row r="36" spans="1:14" x14ac:dyDescent="0.2">
      <c r="A36" s="6">
        <v>10003423</v>
      </c>
      <c r="B36" s="6">
        <v>75971</v>
      </c>
      <c r="C36" s="6">
        <v>30</v>
      </c>
      <c r="D36" s="6" t="s">
        <v>48</v>
      </c>
      <c r="E36" s="17">
        <v>45212</v>
      </c>
      <c r="F36" s="17">
        <v>45218</v>
      </c>
      <c r="G36" s="5">
        <f t="shared" si="8"/>
        <v>7</v>
      </c>
      <c r="H36" s="6">
        <v>2</v>
      </c>
      <c r="I36" s="6" t="s">
        <v>17</v>
      </c>
      <c r="J36" s="6">
        <v>16</v>
      </c>
      <c r="K36" s="18">
        <f t="shared" si="6"/>
        <v>14</v>
      </c>
      <c r="L36" s="8">
        <f t="shared" si="7"/>
        <v>1</v>
      </c>
      <c r="M36" s="15" t="s">
        <v>49</v>
      </c>
    </row>
    <row r="37" spans="1:14" x14ac:dyDescent="0.2">
      <c r="A37" s="6">
        <v>10003423</v>
      </c>
      <c r="B37" s="6">
        <v>75971</v>
      </c>
      <c r="C37" s="6">
        <v>16</v>
      </c>
      <c r="D37" s="6" t="s">
        <v>50</v>
      </c>
      <c r="E37" s="17">
        <v>45219</v>
      </c>
      <c r="F37" s="17">
        <v>45226</v>
      </c>
      <c r="G37" s="5">
        <f t="shared" si="8"/>
        <v>8</v>
      </c>
      <c r="H37" s="6">
        <v>2</v>
      </c>
      <c r="I37" s="6" t="s">
        <v>17</v>
      </c>
      <c r="J37" s="6">
        <v>0</v>
      </c>
      <c r="K37" s="18">
        <f t="shared" si="6"/>
        <v>16</v>
      </c>
      <c r="L37" s="8">
        <f t="shared" si="7"/>
        <v>1</v>
      </c>
      <c r="M37" s="11" t="b">
        <v>1</v>
      </c>
      <c r="N37" s="15" t="s">
        <v>20</v>
      </c>
    </row>
    <row r="38" spans="1:14" x14ac:dyDescent="0.2">
      <c r="A38" s="6">
        <v>10003431</v>
      </c>
      <c r="B38" s="6">
        <v>75971</v>
      </c>
      <c r="C38" s="6">
        <v>30</v>
      </c>
      <c r="D38" s="6" t="s">
        <v>50</v>
      </c>
      <c r="E38" s="21">
        <v>45227</v>
      </c>
      <c r="F38" s="21">
        <v>45233</v>
      </c>
      <c r="G38" s="5">
        <f t="shared" si="8"/>
        <v>7</v>
      </c>
      <c r="H38" s="6">
        <v>2</v>
      </c>
      <c r="I38" s="6" t="s">
        <v>17</v>
      </c>
      <c r="J38" s="6">
        <v>18</v>
      </c>
      <c r="K38" s="18">
        <f t="shared" si="6"/>
        <v>12</v>
      </c>
      <c r="L38" s="8">
        <f t="shared" si="7"/>
        <v>0.8571428571428571</v>
      </c>
      <c r="M38" s="22" t="s">
        <v>51</v>
      </c>
    </row>
    <row r="39" spans="1:14" x14ac:dyDescent="0.2">
      <c r="A39" s="6">
        <v>10003431</v>
      </c>
      <c r="B39" s="6">
        <v>75971</v>
      </c>
      <c r="C39" s="6">
        <v>18</v>
      </c>
      <c r="D39" s="6" t="s">
        <v>50</v>
      </c>
      <c r="E39" s="21">
        <v>45234</v>
      </c>
      <c r="F39" s="21">
        <f>E39+8</f>
        <v>45242</v>
      </c>
      <c r="G39" s="5">
        <f t="shared" si="8"/>
        <v>9</v>
      </c>
      <c r="H39" s="6">
        <v>2</v>
      </c>
      <c r="I39" s="6" t="s">
        <v>17</v>
      </c>
      <c r="J39" s="6">
        <v>0</v>
      </c>
      <c r="K39" s="18">
        <f t="shared" si="6"/>
        <v>18</v>
      </c>
      <c r="L39" s="8">
        <f t="shared" si="7"/>
        <v>1</v>
      </c>
      <c r="M39" s="11" t="b">
        <v>1</v>
      </c>
      <c r="N39" s="15" t="s">
        <v>20</v>
      </c>
    </row>
    <row r="40" spans="1:14" x14ac:dyDescent="0.2">
      <c r="A40" s="6">
        <v>10004066</v>
      </c>
      <c r="B40" s="6">
        <v>75971</v>
      </c>
      <c r="C40" s="6">
        <v>30</v>
      </c>
      <c r="D40" s="6" t="s">
        <v>50</v>
      </c>
      <c r="E40" s="21">
        <v>45243</v>
      </c>
      <c r="F40" s="21">
        <v>45254</v>
      </c>
      <c r="G40" s="5">
        <f t="shared" si="8"/>
        <v>12</v>
      </c>
      <c r="H40" s="6">
        <v>2</v>
      </c>
      <c r="I40" s="6" t="s">
        <v>17</v>
      </c>
      <c r="J40" s="6">
        <v>6</v>
      </c>
      <c r="K40" s="18">
        <f t="shared" si="6"/>
        <v>24</v>
      </c>
      <c r="L40" s="8">
        <f t="shared" si="7"/>
        <v>1</v>
      </c>
      <c r="M40" s="22" t="s">
        <v>52</v>
      </c>
    </row>
    <row r="41" spans="1:14" x14ac:dyDescent="0.2">
      <c r="A41" s="6">
        <v>10004066</v>
      </c>
      <c r="B41" s="6">
        <v>75971</v>
      </c>
      <c r="C41" s="6">
        <v>6</v>
      </c>
      <c r="D41" s="6" t="s">
        <v>53</v>
      </c>
      <c r="E41" s="21">
        <v>45255</v>
      </c>
      <c r="F41" s="21">
        <v>45257</v>
      </c>
      <c r="G41" s="6">
        <v>3</v>
      </c>
      <c r="H41" s="6">
        <v>2</v>
      </c>
      <c r="I41" s="6" t="s">
        <v>17</v>
      </c>
      <c r="J41" s="6">
        <v>0</v>
      </c>
      <c r="K41" s="18">
        <f t="shared" si="6"/>
        <v>6</v>
      </c>
      <c r="L41" s="8">
        <f t="shared" si="7"/>
        <v>1</v>
      </c>
      <c r="M41" s="11" t="b">
        <v>1</v>
      </c>
      <c r="N41" s="15" t="s">
        <v>20</v>
      </c>
    </row>
    <row r="42" spans="1:14" x14ac:dyDescent="0.2">
      <c r="A42" s="6">
        <v>10004081</v>
      </c>
      <c r="B42" s="6">
        <v>75971</v>
      </c>
      <c r="C42" s="6">
        <v>30</v>
      </c>
      <c r="D42" s="6" t="s">
        <v>53</v>
      </c>
      <c r="E42" s="21">
        <v>45258</v>
      </c>
      <c r="F42" s="21">
        <v>45272</v>
      </c>
      <c r="G42" s="5">
        <f t="shared" ref="G42:G45" si="9">F42-E42+1</f>
        <v>15</v>
      </c>
      <c r="H42" s="6">
        <v>2</v>
      </c>
      <c r="I42" s="6" t="s">
        <v>17</v>
      </c>
      <c r="J42" s="6">
        <v>0</v>
      </c>
      <c r="K42" s="18">
        <f t="shared" si="6"/>
        <v>30</v>
      </c>
      <c r="L42" s="8">
        <f t="shared" si="7"/>
        <v>1</v>
      </c>
      <c r="M42" s="11" t="b">
        <v>1</v>
      </c>
      <c r="N42" s="15" t="s">
        <v>20</v>
      </c>
    </row>
    <row r="43" spans="1:14" x14ac:dyDescent="0.2">
      <c r="A43" s="6">
        <v>10004064</v>
      </c>
      <c r="B43" s="6">
        <v>75971</v>
      </c>
      <c r="C43" s="6">
        <v>30</v>
      </c>
      <c r="D43" s="6" t="s">
        <v>53</v>
      </c>
      <c r="E43" s="21">
        <v>45273</v>
      </c>
      <c r="F43" s="21">
        <v>45280</v>
      </c>
      <c r="G43" s="5">
        <f t="shared" si="9"/>
        <v>8</v>
      </c>
      <c r="H43" s="6">
        <v>2</v>
      </c>
      <c r="I43" s="6" t="s">
        <v>17</v>
      </c>
      <c r="J43" s="6">
        <v>14</v>
      </c>
      <c r="K43" s="18">
        <f t="shared" si="6"/>
        <v>16</v>
      </c>
      <c r="L43" s="8">
        <f t="shared" si="7"/>
        <v>1</v>
      </c>
      <c r="M43" s="15" t="s">
        <v>54</v>
      </c>
    </row>
    <row r="44" spans="1:14" x14ac:dyDescent="0.2">
      <c r="A44" s="6">
        <v>10004064</v>
      </c>
      <c r="B44" s="6">
        <v>75971</v>
      </c>
      <c r="C44" s="6">
        <v>14</v>
      </c>
      <c r="D44" s="6" t="s">
        <v>55</v>
      </c>
      <c r="E44" s="21">
        <v>45281</v>
      </c>
      <c r="F44" s="21">
        <v>45287</v>
      </c>
      <c r="G44" s="5">
        <f t="shared" si="9"/>
        <v>7</v>
      </c>
      <c r="H44" s="6">
        <v>2</v>
      </c>
      <c r="I44" s="6" t="s">
        <v>17</v>
      </c>
      <c r="J44" s="6">
        <v>0</v>
      </c>
      <c r="K44" s="18">
        <f t="shared" si="6"/>
        <v>14</v>
      </c>
      <c r="L44" s="8">
        <f t="shared" si="7"/>
        <v>1</v>
      </c>
      <c r="M44" s="11" t="b">
        <v>1</v>
      </c>
      <c r="N44" s="15" t="s">
        <v>20</v>
      </c>
    </row>
    <row r="45" spans="1:14" x14ac:dyDescent="0.2">
      <c r="A45" s="6">
        <v>10004060</v>
      </c>
      <c r="B45" s="6">
        <v>75971</v>
      </c>
      <c r="C45" s="6">
        <v>30</v>
      </c>
      <c r="D45" s="6" t="s">
        <v>55</v>
      </c>
      <c r="E45" s="21">
        <v>45288</v>
      </c>
      <c r="F45" s="21">
        <v>45302</v>
      </c>
      <c r="G45" s="5">
        <f t="shared" si="9"/>
        <v>15</v>
      </c>
      <c r="H45" s="6">
        <v>2</v>
      </c>
      <c r="I45" s="6" t="s">
        <v>17</v>
      </c>
      <c r="J45" s="6">
        <v>0</v>
      </c>
      <c r="K45" s="18">
        <f t="shared" si="6"/>
        <v>30</v>
      </c>
      <c r="L45" s="8">
        <f t="shared" si="7"/>
        <v>1</v>
      </c>
      <c r="M45" s="11" t="b">
        <v>1</v>
      </c>
      <c r="N45" s="15" t="s">
        <v>20</v>
      </c>
    </row>
    <row r="46" spans="1:14" x14ac:dyDescent="0.2">
      <c r="A46" s="6">
        <v>10004079</v>
      </c>
      <c r="B46" s="6">
        <v>75971</v>
      </c>
      <c r="C46" s="6">
        <v>30</v>
      </c>
      <c r="D46" s="6" t="s">
        <v>55</v>
      </c>
      <c r="E46" s="21">
        <v>45303</v>
      </c>
      <c r="F46" s="21">
        <v>45306</v>
      </c>
      <c r="G46" s="6">
        <v>4</v>
      </c>
      <c r="H46" s="6">
        <v>2</v>
      </c>
      <c r="I46" s="6" t="s">
        <v>17</v>
      </c>
      <c r="J46" s="6">
        <v>22</v>
      </c>
      <c r="K46" s="18">
        <f t="shared" si="6"/>
        <v>8</v>
      </c>
      <c r="L46" s="8">
        <f t="shared" si="7"/>
        <v>1</v>
      </c>
      <c r="M46" s="15" t="s">
        <v>56</v>
      </c>
    </row>
    <row r="47" spans="1:14" x14ac:dyDescent="0.2">
      <c r="A47" s="6">
        <v>10004079</v>
      </c>
      <c r="B47" s="6">
        <v>75971</v>
      </c>
      <c r="C47" s="6">
        <v>22</v>
      </c>
      <c r="D47" s="6" t="s">
        <v>57</v>
      </c>
      <c r="E47" s="21">
        <v>45307</v>
      </c>
      <c r="F47" s="21">
        <v>45317</v>
      </c>
      <c r="G47" s="5">
        <f t="shared" ref="G47:G55" si="10">F47-E47+1</f>
        <v>11</v>
      </c>
      <c r="H47" s="6">
        <v>2</v>
      </c>
      <c r="I47" s="6" t="s">
        <v>17</v>
      </c>
      <c r="J47" s="6">
        <v>0</v>
      </c>
      <c r="K47" s="18">
        <f t="shared" si="6"/>
        <v>22</v>
      </c>
      <c r="L47" s="8">
        <f t="shared" si="7"/>
        <v>1</v>
      </c>
      <c r="M47" s="11" t="b">
        <v>1</v>
      </c>
      <c r="N47" s="15" t="s">
        <v>58</v>
      </c>
    </row>
    <row r="48" spans="1:14" x14ac:dyDescent="0.2">
      <c r="A48" s="6">
        <v>10004084</v>
      </c>
      <c r="B48" s="6">
        <v>75971</v>
      </c>
      <c r="C48" s="6">
        <v>30</v>
      </c>
      <c r="D48" s="6" t="s">
        <v>57</v>
      </c>
      <c r="E48" s="21">
        <v>45318</v>
      </c>
      <c r="F48" s="21">
        <v>45332</v>
      </c>
      <c r="G48" s="5">
        <f t="shared" si="10"/>
        <v>15</v>
      </c>
      <c r="H48" s="6">
        <v>2</v>
      </c>
      <c r="I48" s="6" t="s">
        <v>17</v>
      </c>
      <c r="J48" s="6">
        <v>0</v>
      </c>
      <c r="K48" s="18">
        <f t="shared" si="6"/>
        <v>30</v>
      </c>
      <c r="L48" s="8">
        <f t="shared" si="7"/>
        <v>1</v>
      </c>
      <c r="M48" s="11" t="b">
        <v>1</v>
      </c>
      <c r="N48" s="15" t="s">
        <v>58</v>
      </c>
    </row>
    <row r="49" spans="1:14" x14ac:dyDescent="0.2">
      <c r="A49" s="6">
        <v>10005765</v>
      </c>
      <c r="B49" s="6">
        <v>75971.100000000006</v>
      </c>
      <c r="C49" s="6">
        <v>30</v>
      </c>
      <c r="D49" s="6" t="s">
        <v>57</v>
      </c>
      <c r="E49" s="21">
        <v>45333</v>
      </c>
      <c r="F49" s="21">
        <v>45336</v>
      </c>
      <c r="G49" s="5">
        <f t="shared" si="10"/>
        <v>4</v>
      </c>
      <c r="H49" s="6">
        <v>2</v>
      </c>
      <c r="I49" s="6" t="s">
        <v>17</v>
      </c>
      <c r="J49" s="6">
        <v>22</v>
      </c>
      <c r="K49" s="18">
        <f t="shared" si="6"/>
        <v>8</v>
      </c>
      <c r="L49" s="8">
        <f t="shared" si="7"/>
        <v>1</v>
      </c>
      <c r="M49" s="15" t="s">
        <v>59</v>
      </c>
    </row>
    <row r="50" spans="1:14" x14ac:dyDescent="0.2">
      <c r="A50" s="6">
        <v>10005765</v>
      </c>
      <c r="B50" s="6">
        <v>75971.100000000006</v>
      </c>
      <c r="C50" s="6">
        <v>22</v>
      </c>
      <c r="D50" s="6" t="s">
        <v>60</v>
      </c>
      <c r="E50" s="21">
        <v>45337</v>
      </c>
      <c r="F50" s="21">
        <v>45347</v>
      </c>
      <c r="G50" s="5">
        <f t="shared" si="10"/>
        <v>11</v>
      </c>
      <c r="H50" s="6">
        <v>2</v>
      </c>
      <c r="I50" s="6" t="s">
        <v>17</v>
      </c>
      <c r="J50" s="6">
        <v>0</v>
      </c>
      <c r="K50" s="18">
        <f t="shared" si="6"/>
        <v>22</v>
      </c>
      <c r="L50" s="8">
        <f t="shared" si="7"/>
        <v>1</v>
      </c>
      <c r="M50" s="11" t="b">
        <v>1</v>
      </c>
      <c r="N50" s="15" t="s">
        <v>58</v>
      </c>
    </row>
    <row r="51" spans="1:14" x14ac:dyDescent="0.2">
      <c r="A51" s="6">
        <v>10005751</v>
      </c>
      <c r="B51" s="6">
        <v>75971.100000000006</v>
      </c>
      <c r="C51" s="6">
        <v>30</v>
      </c>
      <c r="D51" s="6" t="s">
        <v>60</v>
      </c>
      <c r="E51" s="21">
        <v>45348</v>
      </c>
      <c r="F51" s="21">
        <f>E51+14</f>
        <v>45362</v>
      </c>
      <c r="G51" s="5">
        <f t="shared" si="10"/>
        <v>15</v>
      </c>
      <c r="H51" s="6">
        <v>2</v>
      </c>
      <c r="I51" s="6" t="s">
        <v>17</v>
      </c>
      <c r="J51" s="6">
        <v>0</v>
      </c>
      <c r="K51" s="18">
        <f t="shared" si="6"/>
        <v>30</v>
      </c>
      <c r="L51" s="8">
        <f t="shared" si="7"/>
        <v>1</v>
      </c>
      <c r="M51" s="11" t="b">
        <v>1</v>
      </c>
      <c r="N51" s="15" t="s">
        <v>58</v>
      </c>
    </row>
    <row r="52" spans="1:14" x14ac:dyDescent="0.2">
      <c r="A52" s="6">
        <v>10005772</v>
      </c>
      <c r="B52" s="6">
        <v>75971.100000000006</v>
      </c>
      <c r="C52" s="6">
        <v>30</v>
      </c>
      <c r="D52" s="6" t="s">
        <v>60</v>
      </c>
      <c r="E52" s="21">
        <v>45363</v>
      </c>
      <c r="F52" s="21">
        <v>45365</v>
      </c>
      <c r="G52" s="5">
        <f t="shared" si="10"/>
        <v>3</v>
      </c>
      <c r="H52" s="6">
        <v>2</v>
      </c>
      <c r="I52" s="6" t="s">
        <v>17</v>
      </c>
      <c r="J52" s="6">
        <v>24</v>
      </c>
      <c r="K52" s="18">
        <f t="shared" si="6"/>
        <v>6</v>
      </c>
      <c r="L52" s="8">
        <f t="shared" si="7"/>
        <v>1</v>
      </c>
      <c r="M52" s="15" t="s">
        <v>61</v>
      </c>
    </row>
    <row r="53" spans="1:14" x14ac:dyDescent="0.2">
      <c r="A53" s="6">
        <v>10005772</v>
      </c>
      <c r="B53" s="6">
        <v>75971.100000000006</v>
      </c>
      <c r="C53" s="6">
        <v>24</v>
      </c>
      <c r="D53" s="6" t="s">
        <v>62</v>
      </c>
      <c r="E53" s="21">
        <v>45366</v>
      </c>
      <c r="F53" s="21">
        <v>45377</v>
      </c>
      <c r="G53" s="5">
        <f t="shared" si="10"/>
        <v>12</v>
      </c>
      <c r="H53" s="6">
        <v>2</v>
      </c>
      <c r="I53" s="6" t="s">
        <v>17</v>
      </c>
      <c r="J53" s="6">
        <v>0</v>
      </c>
      <c r="K53" s="18">
        <f t="shared" si="6"/>
        <v>24</v>
      </c>
      <c r="L53" s="8">
        <f t="shared" si="7"/>
        <v>1</v>
      </c>
      <c r="M53" s="11" t="b">
        <v>1</v>
      </c>
      <c r="N53" s="15" t="s">
        <v>58</v>
      </c>
    </row>
    <row r="54" spans="1:14" x14ac:dyDescent="0.2">
      <c r="A54" s="6">
        <v>10005771</v>
      </c>
      <c r="B54" s="6">
        <v>75971.100000000006</v>
      </c>
      <c r="C54" s="6">
        <v>30</v>
      </c>
      <c r="D54" s="6" t="s">
        <v>62</v>
      </c>
      <c r="E54" s="21">
        <v>45378</v>
      </c>
      <c r="F54" s="21">
        <v>45392</v>
      </c>
      <c r="G54" s="5">
        <f t="shared" si="10"/>
        <v>15</v>
      </c>
      <c r="H54" s="6">
        <v>2</v>
      </c>
      <c r="I54" s="6" t="s">
        <v>17</v>
      </c>
      <c r="J54" s="6">
        <v>0</v>
      </c>
      <c r="K54" s="18">
        <f t="shared" si="6"/>
        <v>30</v>
      </c>
      <c r="L54" s="8">
        <f t="shared" si="7"/>
        <v>1</v>
      </c>
      <c r="M54" s="11" t="b">
        <v>1</v>
      </c>
      <c r="N54" s="15" t="s">
        <v>58</v>
      </c>
    </row>
    <row r="55" spans="1:14" x14ac:dyDescent="0.2">
      <c r="A55" s="6">
        <v>10005769</v>
      </c>
      <c r="B55" s="6">
        <v>75971.100000000006</v>
      </c>
      <c r="C55" s="6">
        <v>30</v>
      </c>
      <c r="D55" s="6" t="s">
        <v>62</v>
      </c>
      <c r="E55" s="21">
        <v>45393</v>
      </c>
      <c r="F55" s="21">
        <v>45397</v>
      </c>
      <c r="G55" s="5">
        <f t="shared" si="10"/>
        <v>5</v>
      </c>
      <c r="H55" s="6">
        <v>2</v>
      </c>
      <c r="I55" s="6" t="s">
        <v>17</v>
      </c>
      <c r="J55" s="6">
        <v>20</v>
      </c>
      <c r="K55" s="18">
        <f t="shared" si="6"/>
        <v>10</v>
      </c>
      <c r="L55" s="8">
        <f t="shared" si="7"/>
        <v>1</v>
      </c>
      <c r="M55" s="15" t="s">
        <v>63</v>
      </c>
    </row>
    <row r="56" spans="1:14" x14ac:dyDescent="0.2">
      <c r="A56" s="6">
        <v>10005769</v>
      </c>
      <c r="B56" s="6">
        <v>75971.100000000006</v>
      </c>
      <c r="C56" s="6">
        <v>20</v>
      </c>
      <c r="D56" s="6" t="s">
        <v>64</v>
      </c>
      <c r="E56" s="21">
        <v>45398</v>
      </c>
      <c r="F56" s="21">
        <v>45407</v>
      </c>
      <c r="G56" s="6">
        <v>10</v>
      </c>
      <c r="H56" s="6">
        <v>2</v>
      </c>
      <c r="I56" s="6" t="s">
        <v>17</v>
      </c>
      <c r="J56" s="6">
        <v>0</v>
      </c>
      <c r="K56" s="18">
        <f t="shared" si="6"/>
        <v>20</v>
      </c>
      <c r="L56" s="8">
        <f t="shared" si="7"/>
        <v>1</v>
      </c>
      <c r="M56" s="11" t="b">
        <v>1</v>
      </c>
      <c r="N56" s="15" t="s">
        <v>58</v>
      </c>
    </row>
    <row r="57" spans="1:14" x14ac:dyDescent="0.2">
      <c r="A57" s="6">
        <v>10005764</v>
      </c>
      <c r="B57" s="6">
        <v>75971.100000000006</v>
      </c>
      <c r="C57" s="6">
        <v>30</v>
      </c>
      <c r="D57" s="6" t="s">
        <v>64</v>
      </c>
      <c r="E57" s="21">
        <v>45408</v>
      </c>
      <c r="F57" s="23">
        <v>45422</v>
      </c>
      <c r="G57" s="5">
        <f t="shared" ref="G57:G76" si="11">F57-E57+1</f>
        <v>15</v>
      </c>
      <c r="H57" s="6">
        <v>2</v>
      </c>
      <c r="I57" s="6" t="s">
        <v>17</v>
      </c>
      <c r="J57" s="6">
        <v>0</v>
      </c>
      <c r="K57" s="18">
        <f t="shared" si="6"/>
        <v>30</v>
      </c>
      <c r="L57" s="8">
        <f t="shared" si="7"/>
        <v>1</v>
      </c>
      <c r="M57" s="11" t="b">
        <v>1</v>
      </c>
      <c r="N57" s="15" t="s">
        <v>58</v>
      </c>
    </row>
    <row r="58" spans="1:14" x14ac:dyDescent="0.2">
      <c r="A58" s="6">
        <v>10005756</v>
      </c>
      <c r="B58" s="6">
        <v>75971.100000000006</v>
      </c>
      <c r="C58" s="6">
        <v>30</v>
      </c>
      <c r="D58" s="6" t="s">
        <v>64</v>
      </c>
      <c r="E58" s="23">
        <v>45423</v>
      </c>
      <c r="F58" s="23">
        <v>45427</v>
      </c>
      <c r="G58" s="5">
        <f t="shared" si="11"/>
        <v>5</v>
      </c>
      <c r="H58" s="6">
        <v>2</v>
      </c>
      <c r="I58" s="6" t="s">
        <v>17</v>
      </c>
      <c r="J58" s="6">
        <v>20</v>
      </c>
      <c r="K58" s="18">
        <f t="shared" si="6"/>
        <v>10</v>
      </c>
      <c r="L58" s="8">
        <f t="shared" si="7"/>
        <v>1</v>
      </c>
      <c r="M58" s="22" t="s">
        <v>65</v>
      </c>
    </row>
    <row r="59" spans="1:14" x14ac:dyDescent="0.2">
      <c r="A59" s="6">
        <v>10005756</v>
      </c>
      <c r="B59" s="6">
        <v>75971.100000000006</v>
      </c>
      <c r="C59" s="6">
        <v>20</v>
      </c>
      <c r="D59" s="6" t="s">
        <v>66</v>
      </c>
      <c r="E59" s="23">
        <v>45428</v>
      </c>
      <c r="F59" s="23">
        <v>45437</v>
      </c>
      <c r="G59" s="5">
        <f t="shared" si="11"/>
        <v>10</v>
      </c>
      <c r="H59" s="6">
        <v>2</v>
      </c>
      <c r="I59" s="6" t="s">
        <v>17</v>
      </c>
      <c r="J59" s="6">
        <v>0</v>
      </c>
      <c r="K59" s="18">
        <f t="shared" si="6"/>
        <v>20</v>
      </c>
      <c r="L59" s="8">
        <f t="shared" si="7"/>
        <v>1</v>
      </c>
      <c r="M59" s="11" t="b">
        <v>1</v>
      </c>
      <c r="N59" s="15" t="s">
        <v>58</v>
      </c>
    </row>
    <row r="60" spans="1:14" x14ac:dyDescent="0.2">
      <c r="A60" s="6">
        <v>10005757</v>
      </c>
      <c r="B60" s="6">
        <v>75971.100000000006</v>
      </c>
      <c r="C60" s="6">
        <v>30</v>
      </c>
      <c r="D60" s="6" t="s">
        <v>66</v>
      </c>
      <c r="E60" s="23">
        <v>45438</v>
      </c>
      <c r="F60" s="21">
        <v>45452</v>
      </c>
      <c r="G60" s="5">
        <f t="shared" si="11"/>
        <v>15</v>
      </c>
      <c r="H60" s="6">
        <v>2</v>
      </c>
      <c r="I60" s="6" t="s">
        <v>17</v>
      </c>
      <c r="J60" s="6">
        <v>0</v>
      </c>
      <c r="K60" s="18">
        <f t="shared" si="6"/>
        <v>30</v>
      </c>
      <c r="L60" s="8">
        <f t="shared" si="7"/>
        <v>1</v>
      </c>
      <c r="M60" s="11" t="b">
        <v>1</v>
      </c>
      <c r="N60" s="15" t="s">
        <v>58</v>
      </c>
    </row>
    <row r="61" spans="1:14" x14ac:dyDescent="0.2">
      <c r="A61" s="6">
        <v>10005773</v>
      </c>
      <c r="B61" s="6">
        <v>75971.100000000006</v>
      </c>
      <c r="C61" s="6">
        <v>30</v>
      </c>
      <c r="D61" s="6" t="s">
        <v>66</v>
      </c>
      <c r="E61" s="21">
        <v>45453</v>
      </c>
      <c r="F61" s="21">
        <v>45456</v>
      </c>
      <c r="G61" s="5">
        <f t="shared" si="11"/>
        <v>4</v>
      </c>
      <c r="H61" s="6">
        <v>2</v>
      </c>
      <c r="I61" s="6" t="s">
        <v>17</v>
      </c>
      <c r="J61" s="6">
        <v>22</v>
      </c>
      <c r="K61" s="18">
        <f t="shared" si="6"/>
        <v>8</v>
      </c>
      <c r="L61" s="8">
        <f t="shared" si="7"/>
        <v>1</v>
      </c>
      <c r="M61" s="22" t="s">
        <v>67</v>
      </c>
    </row>
    <row r="62" spans="1:14" x14ac:dyDescent="0.2">
      <c r="A62" s="6">
        <v>10005773</v>
      </c>
      <c r="B62" s="6">
        <v>75971.100000000006</v>
      </c>
      <c r="C62" s="6">
        <v>22</v>
      </c>
      <c r="D62" s="6" t="s">
        <v>68</v>
      </c>
      <c r="E62" s="21">
        <v>45457</v>
      </c>
      <c r="F62" s="21">
        <v>45467</v>
      </c>
      <c r="G62" s="5">
        <f t="shared" si="11"/>
        <v>11</v>
      </c>
      <c r="H62" s="6">
        <v>2</v>
      </c>
      <c r="I62" s="6" t="s">
        <v>17</v>
      </c>
      <c r="J62" s="6">
        <v>0</v>
      </c>
      <c r="K62" s="18">
        <f t="shared" si="6"/>
        <v>22</v>
      </c>
      <c r="L62" s="8">
        <f t="shared" si="7"/>
        <v>1</v>
      </c>
      <c r="M62" s="11" t="b">
        <v>1</v>
      </c>
      <c r="N62" s="15" t="s">
        <v>58</v>
      </c>
    </row>
    <row r="63" spans="1:14" x14ac:dyDescent="0.2">
      <c r="A63" s="6">
        <v>10005760</v>
      </c>
      <c r="B63" s="6">
        <v>75971.100000000006</v>
      </c>
      <c r="C63" s="6">
        <v>30</v>
      </c>
      <c r="D63" s="6" t="s">
        <v>68</v>
      </c>
      <c r="E63" s="21">
        <v>45468</v>
      </c>
      <c r="F63" s="21">
        <v>45482</v>
      </c>
      <c r="G63" s="5">
        <f t="shared" si="11"/>
        <v>15</v>
      </c>
      <c r="H63" s="6">
        <v>2</v>
      </c>
      <c r="I63" s="6" t="s">
        <v>17</v>
      </c>
      <c r="J63" s="6">
        <v>0</v>
      </c>
      <c r="K63" s="18">
        <f t="shared" si="6"/>
        <v>30</v>
      </c>
      <c r="L63" s="8">
        <f t="shared" si="7"/>
        <v>1</v>
      </c>
      <c r="M63" s="11" t="b">
        <v>1</v>
      </c>
      <c r="N63" s="15" t="s">
        <v>58</v>
      </c>
    </row>
    <row r="64" spans="1:14" x14ac:dyDescent="0.2">
      <c r="A64" s="6">
        <v>10005775</v>
      </c>
      <c r="B64" s="6">
        <v>75971.100000000006</v>
      </c>
      <c r="C64" s="6">
        <v>30</v>
      </c>
      <c r="D64" s="6" t="s">
        <v>68</v>
      </c>
      <c r="E64" s="21">
        <v>45483</v>
      </c>
      <c r="F64" s="21">
        <v>45498</v>
      </c>
      <c r="G64" s="5">
        <f t="shared" si="11"/>
        <v>16</v>
      </c>
      <c r="H64" s="6">
        <v>2</v>
      </c>
      <c r="I64" s="6" t="s">
        <v>17</v>
      </c>
      <c r="J64" s="6">
        <v>0</v>
      </c>
      <c r="K64" s="18">
        <f t="shared" si="6"/>
        <v>30</v>
      </c>
      <c r="L64" s="8">
        <f t="shared" si="7"/>
        <v>0.9375</v>
      </c>
      <c r="M64" s="11" t="b">
        <v>1</v>
      </c>
      <c r="N64" s="15" t="s">
        <v>58</v>
      </c>
    </row>
    <row r="65" spans="1:14" x14ac:dyDescent="0.2">
      <c r="A65" s="6">
        <v>10005747</v>
      </c>
      <c r="B65" s="6">
        <v>75971.100000000006</v>
      </c>
      <c r="C65" s="6">
        <v>30</v>
      </c>
      <c r="D65" s="6" t="s">
        <v>68</v>
      </c>
      <c r="E65" s="21">
        <v>45499</v>
      </c>
      <c r="F65" s="21">
        <v>45513</v>
      </c>
      <c r="G65" s="5">
        <f t="shared" si="11"/>
        <v>15</v>
      </c>
      <c r="H65" s="6">
        <v>2</v>
      </c>
      <c r="I65" s="6" t="s">
        <v>17</v>
      </c>
      <c r="J65" s="6">
        <v>0</v>
      </c>
      <c r="K65" s="18">
        <f t="shared" si="6"/>
        <v>30</v>
      </c>
      <c r="L65" s="8">
        <f t="shared" si="7"/>
        <v>1</v>
      </c>
      <c r="M65" s="11" t="b">
        <v>1</v>
      </c>
      <c r="N65" s="15" t="s">
        <v>58</v>
      </c>
    </row>
    <row r="66" spans="1:14" x14ac:dyDescent="0.2">
      <c r="A66" s="24">
        <v>10005752</v>
      </c>
      <c r="B66" s="6">
        <v>75971.100000000006</v>
      </c>
      <c r="C66" s="6">
        <v>30</v>
      </c>
      <c r="D66" s="6" t="s">
        <v>68</v>
      </c>
      <c r="E66" s="25">
        <v>45514</v>
      </c>
      <c r="F66" s="21">
        <v>45517</v>
      </c>
      <c r="G66" s="5">
        <f t="shared" si="11"/>
        <v>4</v>
      </c>
      <c r="H66" s="6">
        <v>2</v>
      </c>
      <c r="I66" s="6" t="s">
        <v>17</v>
      </c>
      <c r="J66" s="6">
        <v>22</v>
      </c>
      <c r="K66" s="18">
        <f t="shared" si="6"/>
        <v>8</v>
      </c>
      <c r="L66" s="8">
        <f t="shared" si="7"/>
        <v>1</v>
      </c>
      <c r="M66" s="11" t="b">
        <v>1</v>
      </c>
      <c r="N66" s="15" t="s">
        <v>58</v>
      </c>
    </row>
    <row r="67" spans="1:14" x14ac:dyDescent="0.2">
      <c r="A67" s="6">
        <v>10006801</v>
      </c>
      <c r="B67" s="6">
        <v>75971.100000000006</v>
      </c>
      <c r="C67" s="6">
        <v>30</v>
      </c>
      <c r="D67" s="6" t="s">
        <v>69</v>
      </c>
      <c r="E67" s="21">
        <v>45518</v>
      </c>
      <c r="F67" s="21">
        <v>45524</v>
      </c>
      <c r="G67" s="5">
        <f t="shared" si="11"/>
        <v>7</v>
      </c>
      <c r="H67" s="6">
        <v>2</v>
      </c>
      <c r="I67" s="6" t="s">
        <v>17</v>
      </c>
      <c r="J67" s="6">
        <v>16</v>
      </c>
      <c r="K67" s="18">
        <f t="shared" si="6"/>
        <v>14</v>
      </c>
      <c r="L67" s="8">
        <f t="shared" si="7"/>
        <v>1</v>
      </c>
      <c r="M67" s="15" t="s">
        <v>70</v>
      </c>
    </row>
    <row r="68" spans="1:14" x14ac:dyDescent="0.2">
      <c r="A68" s="6">
        <v>10006801</v>
      </c>
      <c r="B68" s="6">
        <v>75971.100000000006</v>
      </c>
      <c r="C68" s="6">
        <v>16</v>
      </c>
      <c r="D68" s="6" t="s">
        <v>71</v>
      </c>
      <c r="E68" s="21">
        <v>45525</v>
      </c>
      <c r="F68" s="21">
        <v>45532</v>
      </c>
      <c r="G68" s="5">
        <f t="shared" si="11"/>
        <v>8</v>
      </c>
      <c r="H68" s="6">
        <v>2</v>
      </c>
      <c r="I68" s="6" t="s">
        <v>17</v>
      </c>
      <c r="J68" s="6">
        <v>0</v>
      </c>
      <c r="K68" s="18">
        <f t="shared" si="6"/>
        <v>16</v>
      </c>
      <c r="L68" s="8">
        <f t="shared" si="7"/>
        <v>1</v>
      </c>
      <c r="M68" s="18" t="b">
        <v>1</v>
      </c>
      <c r="N68" s="15" t="s">
        <v>72</v>
      </c>
    </row>
    <row r="69" spans="1:14" x14ac:dyDescent="0.2">
      <c r="A69" s="6">
        <v>10006805</v>
      </c>
      <c r="B69" s="6">
        <v>75971.100000000006</v>
      </c>
      <c r="C69" s="6">
        <v>30</v>
      </c>
      <c r="D69" s="6" t="s">
        <v>71</v>
      </c>
      <c r="E69" s="21">
        <v>45533</v>
      </c>
      <c r="F69" s="21">
        <v>45547</v>
      </c>
      <c r="G69" s="5">
        <f t="shared" si="11"/>
        <v>15</v>
      </c>
      <c r="H69" s="6">
        <v>2</v>
      </c>
      <c r="I69" s="6" t="s">
        <v>17</v>
      </c>
      <c r="J69" s="6">
        <v>0</v>
      </c>
      <c r="K69" s="18">
        <f t="shared" si="6"/>
        <v>30</v>
      </c>
      <c r="L69" s="8">
        <f t="shared" si="7"/>
        <v>1</v>
      </c>
      <c r="M69" s="18" t="b">
        <v>1</v>
      </c>
      <c r="N69" s="15" t="s">
        <v>72</v>
      </c>
    </row>
    <row r="70" spans="1:14" x14ac:dyDescent="0.2">
      <c r="A70" s="6">
        <v>10006779</v>
      </c>
      <c r="B70" s="6">
        <v>75971.100000000006</v>
      </c>
      <c r="C70" s="6">
        <v>30</v>
      </c>
      <c r="D70" s="6" t="s">
        <v>71</v>
      </c>
      <c r="E70" s="21">
        <v>45548</v>
      </c>
      <c r="F70" s="21">
        <v>45552</v>
      </c>
      <c r="G70" s="5">
        <f t="shared" si="11"/>
        <v>5</v>
      </c>
      <c r="H70" s="6">
        <v>2</v>
      </c>
      <c r="I70" s="6" t="s">
        <v>17</v>
      </c>
      <c r="J70" s="6">
        <v>20</v>
      </c>
      <c r="K70" s="18">
        <f t="shared" si="6"/>
        <v>10</v>
      </c>
      <c r="L70" s="8">
        <f t="shared" si="7"/>
        <v>1</v>
      </c>
      <c r="M70" s="22" t="s">
        <v>73</v>
      </c>
    </row>
    <row r="71" spans="1:14" x14ac:dyDescent="0.2">
      <c r="A71" s="6">
        <v>10006779</v>
      </c>
      <c r="B71" s="6">
        <v>75971.100000000006</v>
      </c>
      <c r="C71" s="6">
        <v>20</v>
      </c>
      <c r="D71" s="6" t="s">
        <v>74</v>
      </c>
      <c r="E71" s="21">
        <v>45553</v>
      </c>
      <c r="F71" s="21">
        <v>45562</v>
      </c>
      <c r="G71" s="5">
        <f t="shared" si="11"/>
        <v>10</v>
      </c>
      <c r="H71" s="6">
        <v>2</v>
      </c>
      <c r="I71" s="6" t="s">
        <v>17</v>
      </c>
      <c r="J71" s="6">
        <v>0</v>
      </c>
      <c r="K71" s="18">
        <f t="shared" si="6"/>
        <v>20</v>
      </c>
      <c r="L71" s="8">
        <f t="shared" si="7"/>
        <v>1</v>
      </c>
      <c r="M71" s="18" t="b">
        <v>1</v>
      </c>
      <c r="N71" s="15" t="s">
        <v>72</v>
      </c>
    </row>
    <row r="72" spans="1:14" x14ac:dyDescent="0.2">
      <c r="A72" s="6">
        <v>10006785</v>
      </c>
      <c r="B72" s="6">
        <v>75971.100000000006</v>
      </c>
      <c r="C72" s="6">
        <v>30</v>
      </c>
      <c r="D72" s="6" t="s">
        <v>74</v>
      </c>
      <c r="E72" s="21">
        <v>45563</v>
      </c>
      <c r="F72" s="21">
        <v>45578</v>
      </c>
      <c r="G72" s="5">
        <f t="shared" si="11"/>
        <v>16</v>
      </c>
      <c r="H72" s="6">
        <v>2</v>
      </c>
      <c r="I72" s="6" t="s">
        <v>17</v>
      </c>
      <c r="J72" s="6">
        <v>0</v>
      </c>
      <c r="K72" s="18">
        <f t="shared" si="6"/>
        <v>30</v>
      </c>
      <c r="L72" s="8">
        <f t="shared" si="7"/>
        <v>0.9375</v>
      </c>
      <c r="M72" s="18" t="b">
        <v>1</v>
      </c>
      <c r="N72" s="15" t="s">
        <v>72</v>
      </c>
    </row>
    <row r="73" spans="1:14" x14ac:dyDescent="0.2">
      <c r="A73" s="6">
        <v>10006796</v>
      </c>
      <c r="B73" s="6">
        <v>75971.100000000006</v>
      </c>
      <c r="C73" s="6">
        <v>30</v>
      </c>
      <c r="D73" s="6" t="s">
        <v>74</v>
      </c>
      <c r="E73" s="21">
        <v>45579</v>
      </c>
      <c r="F73" s="21">
        <v>45580</v>
      </c>
      <c r="G73" s="5">
        <f t="shared" si="11"/>
        <v>2</v>
      </c>
      <c r="H73" s="6">
        <v>2</v>
      </c>
      <c r="I73" s="6" t="s">
        <v>17</v>
      </c>
      <c r="J73" s="6">
        <v>26</v>
      </c>
      <c r="K73" s="18">
        <f t="shared" si="6"/>
        <v>4</v>
      </c>
      <c r="L73" s="8">
        <f t="shared" si="7"/>
        <v>1</v>
      </c>
      <c r="M73" s="15" t="s">
        <v>75</v>
      </c>
    </row>
    <row r="74" spans="1:14" x14ac:dyDescent="0.2">
      <c r="A74" s="6">
        <v>10006796</v>
      </c>
      <c r="B74" s="6">
        <v>75971.100000000006</v>
      </c>
      <c r="C74" s="6">
        <v>26</v>
      </c>
      <c r="D74" s="6" t="s">
        <v>76</v>
      </c>
      <c r="E74" s="21">
        <v>45581</v>
      </c>
      <c r="F74" s="21">
        <v>45593</v>
      </c>
      <c r="G74" s="5">
        <f t="shared" si="11"/>
        <v>13</v>
      </c>
      <c r="H74" s="6">
        <v>2</v>
      </c>
      <c r="I74" s="6" t="s">
        <v>17</v>
      </c>
      <c r="J74" s="6">
        <v>0</v>
      </c>
      <c r="K74" s="18">
        <f t="shared" si="6"/>
        <v>26</v>
      </c>
      <c r="L74" s="8">
        <f t="shared" si="7"/>
        <v>1</v>
      </c>
      <c r="M74" s="18" t="b">
        <v>1</v>
      </c>
      <c r="N74" s="15" t="s">
        <v>72</v>
      </c>
    </row>
    <row r="75" spans="1:14" x14ac:dyDescent="0.2">
      <c r="A75" s="6">
        <v>10006803</v>
      </c>
      <c r="B75" s="6">
        <v>75971.100000000006</v>
      </c>
      <c r="C75" s="6">
        <v>30</v>
      </c>
      <c r="D75" s="6" t="s">
        <v>76</v>
      </c>
      <c r="E75" s="21">
        <v>45594</v>
      </c>
      <c r="F75" s="21">
        <v>45606</v>
      </c>
      <c r="G75" s="5">
        <f t="shared" si="11"/>
        <v>13</v>
      </c>
      <c r="H75" s="6">
        <v>2</v>
      </c>
      <c r="I75" s="6" t="s">
        <v>17</v>
      </c>
      <c r="J75" s="6">
        <v>4</v>
      </c>
      <c r="K75" s="18">
        <f t="shared" si="6"/>
        <v>26</v>
      </c>
      <c r="L75" s="8">
        <f t="shared" si="7"/>
        <v>1</v>
      </c>
      <c r="M75" s="15" t="s">
        <v>77</v>
      </c>
    </row>
    <row r="76" spans="1:14" x14ac:dyDescent="0.2">
      <c r="A76" s="6">
        <v>10006803</v>
      </c>
      <c r="B76" s="6">
        <v>75971.100000000006</v>
      </c>
      <c r="C76" s="6">
        <v>4</v>
      </c>
      <c r="D76" s="6" t="s">
        <v>78</v>
      </c>
      <c r="E76" s="21">
        <v>45607</v>
      </c>
      <c r="F76" s="21">
        <v>45608</v>
      </c>
      <c r="G76" s="5">
        <f t="shared" si="11"/>
        <v>2</v>
      </c>
      <c r="H76" s="6">
        <v>2</v>
      </c>
      <c r="I76" s="6" t="s">
        <v>17</v>
      </c>
      <c r="J76" s="6">
        <v>0</v>
      </c>
      <c r="K76" s="18">
        <f t="shared" si="6"/>
        <v>4</v>
      </c>
      <c r="L76" s="8">
        <f t="shared" si="7"/>
        <v>1</v>
      </c>
      <c r="M76" s="18" t="b">
        <v>1</v>
      </c>
      <c r="N76" s="15" t="s">
        <v>72</v>
      </c>
    </row>
    <row r="84" spans="1:5" x14ac:dyDescent="0.2">
      <c r="A84" s="26"/>
      <c r="B84" s="26"/>
      <c r="C84" s="26"/>
      <c r="D84" s="26"/>
    </row>
    <row r="85" spans="1:5" x14ac:dyDescent="0.2">
      <c r="A85" s="27">
        <v>10002995</v>
      </c>
      <c r="B85" s="28" t="s">
        <v>79</v>
      </c>
      <c r="C85" s="29"/>
      <c r="D85" s="26"/>
    </row>
    <row r="86" spans="1:5" x14ac:dyDescent="0.2">
      <c r="A86" s="30">
        <v>10003431</v>
      </c>
      <c r="B86" s="31" t="s">
        <v>80</v>
      </c>
      <c r="C86" s="32"/>
      <c r="D86" s="26" t="s">
        <v>81</v>
      </c>
    </row>
    <row r="87" spans="1:5" x14ac:dyDescent="0.2">
      <c r="A87" s="30">
        <v>10003423</v>
      </c>
      <c r="B87" s="31" t="s">
        <v>80</v>
      </c>
      <c r="C87" s="32"/>
      <c r="D87" s="26" t="s">
        <v>81</v>
      </c>
    </row>
    <row r="88" spans="1:5" x14ac:dyDescent="0.2">
      <c r="A88" s="33">
        <v>10003425</v>
      </c>
      <c r="B88" s="34" t="s">
        <v>80</v>
      </c>
      <c r="C88" s="35"/>
      <c r="D88" s="26" t="s">
        <v>81</v>
      </c>
    </row>
    <row r="89" spans="1:5" x14ac:dyDescent="0.2">
      <c r="A89" s="36">
        <v>10003420</v>
      </c>
      <c r="B89" s="34" t="s">
        <v>80</v>
      </c>
      <c r="C89" s="37"/>
      <c r="D89" s="26" t="s">
        <v>81</v>
      </c>
    </row>
    <row r="90" spans="1:5" x14ac:dyDescent="0.2">
      <c r="A90" s="38">
        <v>10003422</v>
      </c>
      <c r="B90" s="34" t="s">
        <v>80</v>
      </c>
      <c r="C90" s="39"/>
      <c r="D90" s="26" t="s">
        <v>81</v>
      </c>
    </row>
    <row r="91" spans="1:5" x14ac:dyDescent="0.2">
      <c r="A91" s="38">
        <v>10003434</v>
      </c>
      <c r="B91" s="34" t="s">
        <v>80</v>
      </c>
      <c r="C91" s="39"/>
      <c r="D91" s="26" t="s">
        <v>81</v>
      </c>
    </row>
    <row r="93" spans="1:5" x14ac:dyDescent="0.2">
      <c r="A93" s="15">
        <v>10004081</v>
      </c>
      <c r="B93" s="15" t="s">
        <v>82</v>
      </c>
      <c r="E93" s="15" t="s">
        <v>81</v>
      </c>
    </row>
    <row r="94" spans="1:5" x14ac:dyDescent="0.2">
      <c r="A94" s="15">
        <v>10004064</v>
      </c>
      <c r="B94" s="15" t="s">
        <v>82</v>
      </c>
      <c r="E94" s="15" t="s">
        <v>83</v>
      </c>
    </row>
    <row r="95" spans="1:5" x14ac:dyDescent="0.2">
      <c r="A95" s="15">
        <v>10004066</v>
      </c>
      <c r="B95" s="15" t="s">
        <v>82</v>
      </c>
      <c r="E95" s="15" t="s">
        <v>81</v>
      </c>
    </row>
    <row r="96" spans="1:5" x14ac:dyDescent="0.2">
      <c r="A96" s="15">
        <v>10004060</v>
      </c>
      <c r="B96" s="15" t="s">
        <v>82</v>
      </c>
      <c r="E96" s="15" t="s">
        <v>83</v>
      </c>
    </row>
    <row r="97" spans="1:5" x14ac:dyDescent="0.2">
      <c r="A97" s="15">
        <v>10004079</v>
      </c>
      <c r="B97" s="15" t="s">
        <v>82</v>
      </c>
      <c r="E97" s="15" t="s">
        <v>81</v>
      </c>
    </row>
    <row r="98" spans="1:5" x14ac:dyDescent="0.2">
      <c r="A98" s="15">
        <v>10004084</v>
      </c>
      <c r="B98" s="15" t="s">
        <v>82</v>
      </c>
      <c r="E98" s="15" t="s">
        <v>81</v>
      </c>
    </row>
    <row r="101" spans="1:5" x14ac:dyDescent="0.2">
      <c r="A101" s="15">
        <v>10001267</v>
      </c>
      <c r="B101" s="15" t="s">
        <v>84</v>
      </c>
    </row>
    <row r="102" spans="1:5" x14ac:dyDescent="0.2">
      <c r="A102" s="15">
        <v>10002271</v>
      </c>
    </row>
    <row r="103" spans="1:5" x14ac:dyDescent="0.2">
      <c r="A103" s="15">
        <v>10002272</v>
      </c>
    </row>
    <row r="104" spans="1:5" x14ac:dyDescent="0.2">
      <c r="A104" s="15">
        <v>10002276</v>
      </c>
    </row>
    <row r="105" spans="1:5" x14ac:dyDescent="0.2">
      <c r="A105" s="15">
        <v>10002277</v>
      </c>
    </row>
    <row r="107" spans="1:5" x14ac:dyDescent="0.2">
      <c r="A107" s="15"/>
    </row>
    <row r="108" spans="1:5" x14ac:dyDescent="0.2">
      <c r="A108" s="15"/>
    </row>
    <row r="109" spans="1:5" x14ac:dyDescent="0.2">
      <c r="A109" s="15"/>
    </row>
    <row r="110" spans="1:5" x14ac:dyDescent="0.2">
      <c r="A110" s="15"/>
    </row>
  </sheetData>
  <dataValidations count="1">
    <dataValidation type="list" allowBlank="1" showErrorMessage="1" sqref="D2:D76" xr:uid="{00000000-0002-0000-0000-000000000000}">
      <formula1>"V1 / Day -1,TC1 / Day 8,TC 2 / Day 15,V2 / Day 22,TC 3 / Month 2,TC 4 Month 3,TC 5 / Month 4,TC 6 / Month 5,TC 7 / Month 6,Visit 3 / Month 7,TC 8 / Month 8,TC 9 / Month 9,TC 10 / Month 10,TC 11 / Month 11,TC 12 / Month 12,V4 / Month 13,TC 13 / Month 14,TC"&amp;" 14 / Month 15,TC 15 / Month 16,TC 16 / Month 17,TC 17 / Month 18,V5 / Month 19,TC 18 / Month 20,TC 19 / Month 21,TC 20 / Month 22,TC 21 / Month 23"</formula1>
    </dataValidation>
  </dataValidations>
  <printOptions horizontalCentered="1" gridLines="1"/>
  <pageMargins left="0.25" right="0.25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011036001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Reeshma Kumar</cp:lastModifiedBy>
  <dcterms:modified xsi:type="dcterms:W3CDTF">2025-12-15T00:54:22Z</dcterms:modified>
</cp:coreProperties>
</file>